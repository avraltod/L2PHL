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Z_A\L2KGZ_CATI\kobo\fin_for_start\round45\"/>
    </mc:Choice>
  </mc:AlternateContent>
  <xr:revisionPtr revIDLastSave="0" documentId="13_ncr:1_{02588DFF-6ADA-4401-81FB-B7AA35438DD9}" xr6:coauthVersionLast="47" xr6:coauthVersionMax="47" xr10:uidLastSave="{00000000-0000-0000-0000-000000000000}"/>
  <bookViews>
    <workbookView xWindow="-120" yWindow="-120" windowWidth="29040" windowHeight="15720" xr2:uid="{00000000-000D-0000-FFFF-FFFF00000000}"/>
  </bookViews>
  <sheets>
    <sheet name="survey" sheetId="2" r:id="rId1"/>
    <sheet name="choices" sheetId="3" r:id="rId2"/>
    <sheet name="settings" sheetId="4" r:id="rId3"/>
  </sheets>
  <definedNames>
    <definedName name="_xlnm._FilterDatabase" localSheetId="0" hidden="1">survey!$A$1:$U$758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94" i="2" l="1"/>
  <c r="O1109" i="2"/>
  <c r="B1109" i="2"/>
  <c r="O1106" i="2"/>
  <c r="B1106" i="2"/>
  <c r="O1100" i="2"/>
  <c r="B1100" i="2"/>
  <c r="O1098" i="2"/>
  <c r="B1098" i="2"/>
  <c r="B1094" i="2"/>
  <c r="O1078" i="2"/>
  <c r="B1078" i="2"/>
  <c r="O1053" i="2"/>
  <c r="O1050" i="2"/>
  <c r="O1072" i="2"/>
  <c r="B1072" i="2"/>
  <c r="O1070" i="2"/>
  <c r="B1070" i="2"/>
  <c r="O1054" i="2"/>
  <c r="B1054" i="2"/>
  <c r="O1047" i="2"/>
  <c r="B1047" i="2"/>
  <c r="O1044" i="2"/>
  <c r="B1044" i="2"/>
  <c r="O1041" i="2"/>
  <c r="B1041" i="2"/>
  <c r="O956" i="2"/>
  <c r="B956" i="2"/>
  <c r="O952" i="2"/>
  <c r="B952" i="2"/>
  <c r="B1020" i="2"/>
  <c r="B1013" i="2"/>
  <c r="B1007" i="2"/>
  <c r="B1001" i="2"/>
  <c r="B995" i="2"/>
  <c r="B989" i="2"/>
  <c r="O351" i="2"/>
  <c r="B595" i="2"/>
  <c r="B335" i="2"/>
  <c r="O349" i="2"/>
  <c r="O973" i="2" l="1"/>
  <c r="B973" i="2"/>
  <c r="O971" i="2"/>
  <c r="B971" i="2"/>
  <c r="B352" i="2"/>
  <c r="B350" i="2"/>
  <c r="B332" i="2"/>
  <c r="O933" i="2"/>
  <c r="O950" i="2"/>
  <c r="B950" i="2"/>
  <c r="O948" i="2"/>
  <c r="B948" i="2"/>
  <c r="O946" i="2"/>
  <c r="B946" i="2"/>
  <c r="O944" i="2"/>
  <c r="B944" i="2"/>
  <c r="O941" i="2"/>
  <c r="B941" i="2"/>
  <c r="O937" i="2"/>
  <c r="B937" i="2"/>
  <c r="O934" i="2"/>
  <c r="B934" i="2"/>
  <c r="B877" i="2"/>
  <c r="O915" i="2"/>
  <c r="B915" i="2"/>
  <c r="O913" i="2"/>
  <c r="B913" i="2"/>
  <c r="B886" i="2"/>
  <c r="O877" i="2" l="1"/>
  <c r="O875" i="2"/>
  <c r="B875" i="2"/>
  <c r="B845" i="2"/>
  <c r="O831" i="2"/>
  <c r="B831" i="2"/>
  <c r="O828" i="2"/>
  <c r="O825" i="2"/>
  <c r="O817" i="2"/>
  <c r="B828" i="2"/>
  <c r="B825" i="2"/>
  <c r="B823" i="2"/>
  <c r="B821" i="2" s="1"/>
  <c r="B817" i="2"/>
  <c r="O815" i="2"/>
  <c r="B815" i="2"/>
  <c r="O814" i="2"/>
  <c r="O810" i="2"/>
  <c r="B810" i="2"/>
  <c r="B807" i="2"/>
  <c r="O804" i="2"/>
  <c r="B804" i="2"/>
  <c r="O802" i="2"/>
  <c r="B802" i="2"/>
  <c r="O798" i="2"/>
  <c r="B798" i="2"/>
  <c r="O797" i="2"/>
  <c r="O791" i="2"/>
  <c r="O785" i="2"/>
  <c r="B795" i="2"/>
  <c r="B782" i="2"/>
  <c r="O792" i="2"/>
  <c r="O786" i="2"/>
  <c r="B792" i="2"/>
  <c r="B786" i="2"/>
  <c r="B789" i="2"/>
  <c r="B783" i="2"/>
  <c r="B781" i="2" s="1"/>
  <c r="B82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488" authorId="0" shapeId="0" xr:uid="{9F542F6E-E36F-43B9-A5B0-2FB1A0573DD2}">
      <text>
        <r>
          <rPr>
            <b/>
            <sz val="10"/>
            <color rgb="FF000000"/>
            <rFont val="Tahoma"/>
            <family val="2"/>
          </rPr>
          <t>Microsoft Office User:</t>
        </r>
        <r>
          <rPr>
            <sz val="10"/>
            <color rgb="FF000000"/>
            <rFont val="Tahoma"/>
            <family val="2"/>
          </rPr>
          <t xml:space="preserve">
</t>
        </r>
        <r>
          <rPr>
            <sz val="10"/>
            <color rgb="FF000000"/>
            <rFont val="Tahoma"/>
            <family val="2"/>
          </rPr>
          <t xml:space="preserve">hint is missing
</t>
        </r>
      </text>
    </comment>
  </commentList>
</comments>
</file>

<file path=xl/sharedStrings.xml><?xml version="1.0" encoding="utf-8"?>
<sst xmlns="http://schemas.openxmlformats.org/spreadsheetml/2006/main" count="10519" uniqueCount="6328">
  <si>
    <t>type</t>
  </si>
  <si>
    <t>name</t>
  </si>
  <si>
    <t>label::English (en)</t>
  </si>
  <si>
    <t>hint::English (en)</t>
  </si>
  <si>
    <t>label::Russian (ru)</t>
  </si>
  <si>
    <t>hint::Russian (ru)</t>
  </si>
  <si>
    <t>default</t>
  </si>
  <si>
    <t>constraint</t>
  </si>
  <si>
    <t>required</t>
  </si>
  <si>
    <t>repeat_count</t>
  </si>
  <si>
    <t>calculation</t>
  </si>
  <si>
    <t>constraint_message</t>
  </si>
  <si>
    <t>relevant</t>
  </si>
  <si>
    <t>appearance</t>
  </si>
  <si>
    <t>$given_name</t>
  </si>
  <si>
    <t>choice_filter</t>
  </si>
  <si>
    <t>begin_group</t>
  </si>
  <si>
    <t>true</t>
  </si>
  <si>
    <t>deviceid</t>
  </si>
  <si>
    <t>start</t>
  </si>
  <si>
    <t>end</t>
  </si>
  <si>
    <t>calculate</t>
  </si>
  <si>
    <t>note</t>
  </si>
  <si>
    <t>agreement</t>
  </si>
  <si>
    <t>Do you agree to participate in a survey?</t>
  </si>
  <si>
    <t>Согласны ли вы принять участие в опросе?</t>
  </si>
  <si>
    <t>text</t>
  </si>
  <si>
    <t>Пожалуйста, введите свой системный  номер для входа в программу</t>
  </si>
  <si>
    <t>integer</t>
  </si>
  <si>
    <t>${agreement}=1</t>
  </si>
  <si>
    <t>hhid</t>
  </si>
  <si>
    <t>hhsize</t>
  </si>
  <si>
    <t>p1</t>
  </si>
  <si>
    <t>p2</t>
  </si>
  <si>
    <t>p3</t>
  </si>
  <si>
    <t>p4</t>
  </si>
  <si>
    <t>p5</t>
  </si>
  <si>
    <t>p6</t>
  </si>
  <si>
    <t>p7</t>
  </si>
  <si>
    <t>p8</t>
  </si>
  <si>
    <t>p9</t>
  </si>
  <si>
    <t>p10</t>
  </si>
  <si>
    <t>p11</t>
  </si>
  <si>
    <t>p12</t>
  </si>
  <si>
    <t>p13</t>
  </si>
  <si>
    <t>p14</t>
  </si>
  <si>
    <t>p15</t>
  </si>
  <si>
    <t>field-list</t>
  </si>
  <si>
    <t>end_group</t>
  </si>
  <si>
    <t>resp_name</t>
  </si>
  <si>
    <t>Please ask the name of the respondent</t>
  </si>
  <si>
    <t>resp_year</t>
  </si>
  <si>
    <t>elc_</t>
  </si>
  <si>
    <t>Electricity</t>
  </si>
  <si>
    <t>count-selected(.)&lt;=3</t>
  </si>
  <si>
    <t>begin_repeat</t>
  </si>
  <si>
    <t>end_repeat</t>
  </si>
  <si>
    <t>ret_</t>
  </si>
  <si>
    <t>Returned from migration</t>
  </si>
  <si>
    <t>Currently living or staying temporarily</t>
  </si>
  <si>
    <t>emp_</t>
  </si>
  <si>
    <t>Пожалуйста, укажите другое</t>
  </si>
  <si>
    <t>For the following, please say whether you completely agree, agree, disagree, or completely disaggree</t>
  </si>
  <si>
    <t>inc_</t>
  </si>
  <si>
    <t>Incomes</t>
  </si>
  <si>
    <t>Savings</t>
  </si>
  <si>
    <t>list_name</t>
  </si>
  <si>
    <t>filter_province</t>
  </si>
  <si>
    <t>CATI_01</t>
  </si>
  <si>
    <t>CATI_02</t>
  </si>
  <si>
    <t>CATI_09</t>
  </si>
  <si>
    <t>CATI_10</t>
  </si>
  <si>
    <t>No time for participation these days</t>
  </si>
  <si>
    <t>Нет времени для участия в эти дни</t>
  </si>
  <si>
    <t>Do not want to share my personal information</t>
  </si>
  <si>
    <t>Не хочу делиться своей личной информацией</t>
  </si>
  <si>
    <t>Cannot participate due to current family problems</t>
  </si>
  <si>
    <t>Не может участвовать из-за текущих семейных проблем</t>
  </si>
  <si>
    <t>Other</t>
  </si>
  <si>
    <t>Другое</t>
  </si>
  <si>
    <t>Piped into dwelling</t>
  </si>
  <si>
    <t>Yes</t>
  </si>
  <si>
    <t>Да</t>
  </si>
  <si>
    <t>No</t>
  </si>
  <si>
    <t>Нет</t>
  </si>
  <si>
    <t>Don't know</t>
  </si>
  <si>
    <t>Не знаю</t>
  </si>
  <si>
    <t>Гораздо хуже чем было раньше</t>
  </si>
  <si>
    <t>Хуже чем было раньше</t>
  </si>
  <si>
    <t>Так же как и раньше</t>
  </si>
  <si>
    <t>Better than before</t>
  </si>
  <si>
    <t>Лучше чем было раньше</t>
  </si>
  <si>
    <t>Much better than before</t>
  </si>
  <si>
    <t>Do not received receipt yet</t>
  </si>
  <si>
    <t>Еще не получил квитанцию</t>
  </si>
  <si>
    <t>Do not have any savings</t>
  </si>
  <si>
    <t>Нет каких-либо сбережения</t>
  </si>
  <si>
    <t>Very good</t>
  </si>
  <si>
    <t>Очень хорошие</t>
  </si>
  <si>
    <t>Good</t>
  </si>
  <si>
    <t>Хорошие</t>
  </si>
  <si>
    <t>Bad</t>
  </si>
  <si>
    <t>Плохие</t>
  </si>
  <si>
    <t>Очень плохие</t>
  </si>
  <si>
    <t>Jobs</t>
  </si>
  <si>
    <t>Prices</t>
  </si>
  <si>
    <t>Equality</t>
  </si>
  <si>
    <t>Trade</t>
  </si>
  <si>
    <t>Services</t>
  </si>
  <si>
    <t>Russia</t>
  </si>
  <si>
    <t>Россия</t>
  </si>
  <si>
    <t>Kazakhstan</t>
  </si>
  <si>
    <t>Казахстан</t>
  </si>
  <si>
    <t>Turkey</t>
  </si>
  <si>
    <t>Турция</t>
  </si>
  <si>
    <t>Found work here</t>
  </si>
  <si>
    <t>Нашёл здесь работу</t>
  </si>
  <si>
    <t>Too old</t>
  </si>
  <si>
    <t>Слишком старый</t>
  </si>
  <si>
    <t>Vacation</t>
  </si>
  <si>
    <t>Отпуск</t>
  </si>
  <si>
    <t>Could not get permit in destination</t>
  </si>
  <si>
    <t>Не смог получить разрешения на работу (регистрацию) в стране назначения</t>
  </si>
  <si>
    <t>Health problem</t>
  </si>
  <si>
    <t>Проблемы со здоровьем</t>
  </si>
  <si>
    <t>Permit expired in destination</t>
  </si>
  <si>
    <t>Закончился срок действия разрешения на работу (регистрации)</t>
  </si>
  <si>
    <t>Accumulated enough money</t>
  </si>
  <si>
    <t xml:space="preserve">Заработал достаточно денег </t>
  </si>
  <si>
    <t>Учёба</t>
  </si>
  <si>
    <t>Got expelled or deported</t>
  </si>
  <si>
    <t>Депортировали</t>
  </si>
  <si>
    <t>Family reasons</t>
  </si>
  <si>
    <t>Семейные обстоятельства</t>
  </si>
  <si>
    <t>Homesick</t>
  </si>
  <si>
    <t>Соскучился</t>
  </si>
  <si>
    <t>To attempt legalization of house or land</t>
  </si>
  <si>
    <t>Пытаюсь легализовать дом или участок</t>
  </si>
  <si>
    <t>Готовлюсь к миграции (в ожидании документов)</t>
  </si>
  <si>
    <t>Женился (решил создать семью)</t>
  </si>
  <si>
    <t>Other (specify)</t>
  </si>
  <si>
    <t>Полностью согласен</t>
  </si>
  <si>
    <t>Agree</t>
  </si>
  <si>
    <t>Согласен</t>
  </si>
  <si>
    <t>Disagree</t>
  </si>
  <si>
    <t xml:space="preserve">Не согласен </t>
  </si>
  <si>
    <t>Полностью не согласен</t>
  </si>
  <si>
    <t>Disability pension</t>
  </si>
  <si>
    <t>Пенсия по инвалидности</t>
  </si>
  <si>
    <t>Пособие по безработице</t>
  </si>
  <si>
    <t>Free food provision</t>
  </si>
  <si>
    <t>Free-of-charge provision of medicine</t>
  </si>
  <si>
    <t>Public works</t>
  </si>
  <si>
    <t>Другое (уточните)</t>
  </si>
  <si>
    <t>01.1.1.1.0.3</t>
  </si>
  <si>
    <t>01.1.1.2.1.3</t>
  </si>
  <si>
    <t>01.1.1.2.2.1</t>
  </si>
  <si>
    <t>01.1.1.2.2.2</t>
  </si>
  <si>
    <t>01.1.1.2.2.3</t>
  </si>
  <si>
    <t>01.1.1.2.2.4</t>
  </si>
  <si>
    <t>01.1.1.3.1.4</t>
  </si>
  <si>
    <t>01.1.1.3.1.5</t>
  </si>
  <si>
    <t>01.1.1.4.1.5</t>
  </si>
  <si>
    <t>01.1.1.5.1.1</t>
  </si>
  <si>
    <t>01.1.1.6.1.1</t>
  </si>
  <si>
    <t>01.1.2.1.2.1</t>
  </si>
  <si>
    <t>01.1.2.3.1.1</t>
  </si>
  <si>
    <t>01.1.2.4.0.1</t>
  </si>
  <si>
    <t>01.1.2.5.0.1</t>
  </si>
  <si>
    <t>01.1.2.6.1.1</t>
  </si>
  <si>
    <t>01.1.2.1.3.1</t>
  </si>
  <si>
    <t>01.1.2.6.3.1</t>
  </si>
  <si>
    <t>01.1.2.8.1.1</t>
  </si>
  <si>
    <t>01.1.3.1.1.1</t>
  </si>
  <si>
    <t>01.1.4.1.1.1</t>
  </si>
  <si>
    <t>01.1.4.2.1.1</t>
  </si>
  <si>
    <t>01.1.4.3.1.3</t>
  </si>
  <si>
    <t>01.1.4.3.4.2</t>
  </si>
  <si>
    <t>01.1.4.3.7.2</t>
  </si>
  <si>
    <t>01.1.4.5.1.1</t>
  </si>
  <si>
    <t>01.1.5.1.0.3</t>
  </si>
  <si>
    <t>01.1.5.2.0.3</t>
  </si>
  <si>
    <t>01.1.5.3.0.1</t>
  </si>
  <si>
    <t>01.1.5.4.0.2</t>
  </si>
  <si>
    <t>01.1.6.1.1.1</t>
  </si>
  <si>
    <t>01.1.6.1.1.2</t>
  </si>
  <si>
    <t>01.1.6.1.2.1</t>
  </si>
  <si>
    <t>01.1.6.1.2.2</t>
  </si>
  <si>
    <t>01.1.6.1.2.6</t>
  </si>
  <si>
    <t>01.1.6.1.3.1</t>
  </si>
  <si>
    <t>01.1.6.1.4.4</t>
  </si>
  <si>
    <t>01.1.6.1.6.1</t>
  </si>
  <si>
    <t>01.1.6.2.1.1</t>
  </si>
  <si>
    <t>01.1.6.2.1.4</t>
  </si>
  <si>
    <t>01.1.1.7.0.1</t>
  </si>
  <si>
    <t>01.1.1.7.0.3</t>
  </si>
  <si>
    <t>01.1.1.7.0.4</t>
  </si>
  <si>
    <t>01.1.1.7.0.5</t>
  </si>
  <si>
    <t>01.1.1.7.0.7</t>
  </si>
  <si>
    <t>01.1.1.7.0.9</t>
  </si>
  <si>
    <t>01.1.1.7.0.13</t>
  </si>
  <si>
    <t>01.1.1.7.0.14</t>
  </si>
  <si>
    <t>01.1.1.7.0.15</t>
  </si>
  <si>
    <t>01.1.1.7.0.16</t>
  </si>
  <si>
    <t>01.1.1.7.0.18</t>
  </si>
  <si>
    <t>01.1.1.7.1.1</t>
  </si>
  <si>
    <t>01.1.1.7.3.1</t>
  </si>
  <si>
    <t>01.1.7.4.0.3</t>
  </si>
  <si>
    <t>01.1.7.4.0.4</t>
  </si>
  <si>
    <t>01.1.8.1.0.2</t>
  </si>
  <si>
    <t>01.1.8.2.0.1</t>
  </si>
  <si>
    <t>01.1.8.2.0.6</t>
  </si>
  <si>
    <t>01.1.8.3.1.2</t>
  </si>
  <si>
    <t>01.1.8.3.6.1</t>
  </si>
  <si>
    <t>01.1.9.2.1.1</t>
  </si>
  <si>
    <t>01.1.9.4.1.1</t>
  </si>
  <si>
    <t>01.1.9.5.2.1</t>
  </si>
  <si>
    <t>01.1.9.7.1.1</t>
  </si>
  <si>
    <t>01.1.9.8.2.1</t>
  </si>
  <si>
    <t>01.1.9.8.3.1</t>
  </si>
  <si>
    <t>01.2.1.1.0.3</t>
  </si>
  <si>
    <t>01.2.1.2.0.4</t>
  </si>
  <si>
    <t>01.2.2.1.0.2</t>
  </si>
  <si>
    <t>02.1.1.0.1.1</t>
  </si>
  <si>
    <t>02.1.2.2.0.1</t>
  </si>
  <si>
    <t>02.1.2.2.0.10</t>
  </si>
  <si>
    <t>02.1.3.0.0.1.1</t>
  </si>
  <si>
    <t>02.1.3.0.0.1.2</t>
  </si>
  <si>
    <t>Сбережения</t>
  </si>
  <si>
    <t>form_id</t>
  </si>
  <si>
    <t>version </t>
  </si>
  <si>
    <t>id_string</t>
  </si>
  <si>
    <t>style</t>
  </si>
  <si>
    <t>id</t>
  </si>
  <si>
    <t>pages</t>
  </si>
  <si>
    <t>age1</t>
  </si>
  <si>
    <t>age2</t>
  </si>
  <si>
    <t>age3</t>
  </si>
  <si>
    <t>age4</t>
  </si>
  <si>
    <t>age5</t>
  </si>
  <si>
    <t>age6</t>
  </si>
  <si>
    <t>age7</t>
  </si>
  <si>
    <t>age8</t>
  </si>
  <si>
    <t>age9</t>
  </si>
  <si>
    <t>age10</t>
  </si>
  <si>
    <t>age11</t>
  </si>
  <si>
    <t>age12</t>
  </si>
  <si>
    <t>age13</t>
  </si>
  <si>
    <t>age14</t>
  </si>
  <si>
    <t>age15</t>
  </si>
  <si>
    <t>filter_empty</t>
  </si>
  <si>
    <t>Электричество</t>
  </si>
  <si>
    <t>Трудовая миграция</t>
  </si>
  <si>
    <t>Вернулся с трудовой миграции</t>
  </si>
  <si>
    <t>position(..)</t>
  </si>
  <si>
    <t>Done any work for pay profit or gain</t>
  </si>
  <si>
    <t>Цены</t>
  </si>
  <si>
    <t>Равенство</t>
  </si>
  <si>
    <t>Доход</t>
  </si>
  <si>
    <t>Торговля</t>
  </si>
  <si>
    <t>Услуги</t>
  </si>
  <si>
    <t>Работа</t>
  </si>
  <si>
    <t>Не полная ставка</t>
  </si>
  <si>
    <t>Полная ставка</t>
  </si>
  <si>
    <t>Пахта</t>
  </si>
  <si>
    <t>adult1</t>
  </si>
  <si>
    <t>adult2</t>
  </si>
  <si>
    <t>adult3</t>
  </si>
  <si>
    <t>adult4</t>
  </si>
  <si>
    <t>adult5</t>
  </si>
  <si>
    <t>adult6</t>
  </si>
  <si>
    <t>adult7</t>
  </si>
  <si>
    <t>adult8</t>
  </si>
  <si>
    <t>adult9</t>
  </si>
  <si>
    <t>adult10</t>
  </si>
  <si>
    <t>${adult1}</t>
  </si>
  <si>
    <t>${adult2}</t>
  </si>
  <si>
    <t>${adult3}</t>
  </si>
  <si>
    <t>${adult4}</t>
  </si>
  <si>
    <t>${adult5}</t>
  </si>
  <si>
    <t>${adult6}</t>
  </si>
  <si>
    <t>${adult7}</t>
  </si>
  <si>
    <t>${adult8}</t>
  </si>
  <si>
    <t>${adult9}</t>
  </si>
  <si>
    <t>${adult10}</t>
  </si>
  <si>
    <t>adult11</t>
  </si>
  <si>
    <t>adult12</t>
  </si>
  <si>
    <t>adult13</t>
  </si>
  <si>
    <t>adult14</t>
  </si>
  <si>
    <t>adult15</t>
  </si>
  <si>
    <t>${adult11}</t>
  </si>
  <si>
    <t>${adult12}</t>
  </si>
  <si>
    <t>${adult13}</t>
  </si>
  <si>
    <t>${adult14}</t>
  </si>
  <si>
    <t>${adult15}</t>
  </si>
  <si>
    <t>Есть ли другие (новые) члены семьи, не указанные в предыдущем списке?</t>
  </si>
  <si>
    <t>Gender</t>
  </si>
  <si>
    <t>Name</t>
  </si>
  <si>
    <t>Имя</t>
  </si>
  <si>
    <t>Male</t>
  </si>
  <si>
    <t>Мужчина</t>
  </si>
  <si>
    <t>Female</t>
  </si>
  <si>
    <t>Женщина</t>
  </si>
  <si>
    <t>New member</t>
  </si>
  <si>
    <t>Новый член домохозяйства</t>
  </si>
  <si>
    <t>.&gt;=0 and .&lt;=120</t>
  </si>
  <si>
    <t>Собирается поехать в трудовую миграцию</t>
  </si>
  <si>
    <t>age</t>
  </si>
  <si>
    <t>USA</t>
  </si>
  <si>
    <t>США</t>
  </si>
  <si>
    <t>Сейчас я Вам озвучу несколько утверждений. Вы, пожалуйста, скажите, согласны ли вы, не согласны или полностью не согласны</t>
  </si>
  <si>
    <t>${agreement}=2</t>
  </si>
  <si>
    <t>resp_calcyear</t>
  </si>
  <si>
    <t>selected-at(${resp_name}, position(..)-1)</t>
  </si>
  <si>
    <t>respnum</t>
  </si>
  <si>
    <t>concat('age',${respnum})</t>
  </si>
  <si>
    <t>respagefield</t>
  </si>
  <si>
    <t>relation</t>
  </si>
  <si>
    <t>Relationship of _${name}_ to head:</t>
  </si>
  <si>
    <t>Кем приходится _${name}_ к главе семейства</t>
  </si>
  <si>
    <t>Please, specify other</t>
  </si>
  <si>
    <t>Еще не решил</t>
  </si>
  <si>
    <t xml:space="preserve">Grape </t>
  </si>
  <si>
    <t>Satisfied</t>
  </si>
  <si>
    <t>Пожалуйста, подтвердите ГОД рождения респондента (_${resp_calcyear}_ год)</t>
  </si>
  <si>
    <t>fmidname</t>
  </si>
  <si>
    <t>fmidfieldname</t>
  </si>
  <si>
    <t>fmidfielddays</t>
  </si>
  <si>
    <t>fmiddays</t>
  </si>
  <si>
    <t>fmidage</t>
  </si>
  <si>
    <t>fmid_note</t>
  </si>
  <si>
    <t>EVERYONE WHO NORMALLY LIVES IN THE HOUSEHOLD AND TAKE THEIR MEALS TOGETHER. INCLUDE MIGRANTS, AND OTHER MEMBERS WHO ARE TEMPORARILY ABSENT.</t>
  </si>
  <si>
    <t>Я буду перечислять членов Вашего домохозяйства, а Вы скажите, живет ли он/она в этом домохозяйстве?</t>
  </si>
  <si>
    <t>ВСЕ, КТО ОБЫЧНО ЖИВЕТ В ДОМОХОЗЯЙСТВЕ И ПРИНИМАЕТ ПИЩУ ВМЕСТЕ. ВКЛЮЧАЯ МИГРАНТОВ И ДРУГИХ ВРЕМЕННО ОТСУТСТВУЮЩИХ ЧЛЕНОВ.</t>
  </si>
  <si>
    <t>Пожалуйста, скажите, по какой причине _${fmidname}_ выбыл из домохозяйства?</t>
  </si>
  <si>
    <t>Have not decided</t>
  </si>
  <si>
    <t>Please, tell me, why did _${fmidname}_ leave the household?</t>
  </si>
  <si>
    <t>Are there any other (new) family members not listed in the previous list?</t>
  </si>
  <si>
    <t>I will list the members of your household, and you tell me, does he / she live in this household?</t>
  </si>
  <si>
    <t>time_wb</t>
  </si>
  <si>
    <t>time_end</t>
  </si>
  <si>
    <t>hhsize_wrong</t>
  </si>
  <si>
    <t>ID-номер домохозяйства отсутствует в базе. Вернитесь назад и исправьте.</t>
  </si>
  <si>
    <t>Household-ID is abscent in database. Go back and reenter household-ID.</t>
  </si>
  <si>
    <t>next_call</t>
  </si>
  <si>
    <t>oldp1</t>
  </si>
  <si>
    <t>oldp2</t>
  </si>
  <si>
    <t>oldp3</t>
  </si>
  <si>
    <t>oldp4</t>
  </si>
  <si>
    <t>oldp5</t>
  </si>
  <si>
    <t>oldp6</t>
  </si>
  <si>
    <t>oldp7</t>
  </si>
  <si>
    <t>oldp8</t>
  </si>
  <si>
    <t>oldp9</t>
  </si>
  <si>
    <t>oldp10</t>
  </si>
  <si>
    <t>oldp11</t>
  </si>
  <si>
    <t>oldp12</t>
  </si>
  <si>
    <t>oldp13</t>
  </si>
  <si>
    <t>oldp14</t>
  </si>
  <si>
    <t>oldp15</t>
  </si>
  <si>
    <t>oldage1</t>
  </si>
  <si>
    <t>oldage2</t>
  </si>
  <si>
    <t>oldage3</t>
  </si>
  <si>
    <t>oldage4</t>
  </si>
  <si>
    <t>oldage5</t>
  </si>
  <si>
    <t>oldage6</t>
  </si>
  <si>
    <t>oldage7</t>
  </si>
  <si>
    <t>oldage8</t>
  </si>
  <si>
    <t>oldage9</t>
  </si>
  <si>
    <t>oldage10</t>
  </si>
  <si>
    <t>oldage11</t>
  </si>
  <si>
    <t>oldage12</t>
  </si>
  <si>
    <t>oldage13</t>
  </si>
  <si>
    <t>oldage14</t>
  </si>
  <si>
    <t>oldage15</t>
  </si>
  <si>
    <t>oldadult1</t>
  </si>
  <si>
    <t>oldadult2</t>
  </si>
  <si>
    <t>oldadult3</t>
  </si>
  <si>
    <t>oldadult4</t>
  </si>
  <si>
    <t>oldadult5</t>
  </si>
  <si>
    <t>oldadult6</t>
  </si>
  <si>
    <t>oldadult7</t>
  </si>
  <si>
    <t>oldadult8</t>
  </si>
  <si>
    <t>oldadult9</t>
  </si>
  <si>
    <t>oldadult10</t>
  </si>
  <si>
    <t>oldadult11</t>
  </si>
  <si>
    <t>oldadult12</t>
  </si>
  <si>
    <t>oldadult13</t>
  </si>
  <si>
    <t>oldadult14</t>
  </si>
  <si>
    <t>oldadult15</t>
  </si>
  <si>
    <t>if (${oldage1}&gt;15,${oldp1},'')</t>
  </si>
  <si>
    <t>if (${oldage2}&gt;15,${oldp2},'')</t>
  </si>
  <si>
    <t>if (${oldage3}&gt;15,${oldp3},'')</t>
  </si>
  <si>
    <t>if (${oldage4}&gt;15,${oldp4},'')</t>
  </si>
  <si>
    <t>if (${oldage5}&gt;15,${oldp5},'')</t>
  </si>
  <si>
    <t>if (${oldage6}&gt;15,${oldp6},'')</t>
  </si>
  <si>
    <t>if (${oldage7}&gt;15,${oldp7},'')</t>
  </si>
  <si>
    <t>if (${oldage8}&gt;15,${oldp8},'')</t>
  </si>
  <si>
    <t>if (${oldage9}&gt;15,${oldp9},'')</t>
  </si>
  <si>
    <t>if (${oldage10}&gt;15,${oldp10},'')</t>
  </si>
  <si>
    <t>if (${oldage11}&gt;15,${oldp11},'')</t>
  </si>
  <si>
    <t>if (${oldage12}&gt;15,${oldp12},'')</t>
  </si>
  <si>
    <t>if (${oldage13}&gt;15,${oldp13},'')</t>
  </si>
  <si>
    <t>if (${oldage14}&gt;15,${oldp14},'')</t>
  </si>
  <si>
    <t>if (${oldage15}&gt;15,${oldp15},'')</t>
  </si>
  <si>
    <t>if (${age1}&gt;15,${p1},'')</t>
  </si>
  <si>
    <t>if (${age2}&gt;15,${p2},'')</t>
  </si>
  <si>
    <t>if (${age3}&gt;15,${p3},'')</t>
  </si>
  <si>
    <t>if (${age4}&gt;15,${p4},'')</t>
  </si>
  <si>
    <t>if (${age5}&gt;15,${p5},'')</t>
  </si>
  <si>
    <t>if (${age6}&gt;15,${p6},'')</t>
  </si>
  <si>
    <t>if (${age7}&gt;15,${p7},'')</t>
  </si>
  <si>
    <t>if (${age8}&gt;15,${p8},'')</t>
  </si>
  <si>
    <t>if (${age9}&gt;15,${p9},'')</t>
  </si>
  <si>
    <t>if (${age10}&gt;15,${p10},'')</t>
  </si>
  <si>
    <t>if (${age11}&gt;15,${p11},'')</t>
  </si>
  <si>
    <t>if (${age12}&gt;15,${p12},'')</t>
  </si>
  <si>
    <t>if (${age13}&gt;15,${p13},'')</t>
  </si>
  <si>
    <t>if (${age14}&gt;15,${p14},'')</t>
  </si>
  <si>
    <t>if (${age15}&gt;15,${p15},'')</t>
  </si>
  <si>
    <t>_${fmidname}_ - _${fmidage}_ years old</t>
  </si>
  <si>
    <t>_${fmidname}_ - _${fmidage}_ лет</t>
  </si>
  <si>
    <t>oldhhsize</t>
  </si>
  <si>
    <t>${oldhhsize}=''</t>
  </si>
  <si>
    <t>No children</t>
  </si>
  <si>
    <t>Нет детей</t>
  </si>
  <si>
    <t xml:space="preserve">text </t>
  </si>
  <si>
    <t>correct_name</t>
  </si>
  <si>
    <t>Please, tell us the correct name for _${fmidname}_ ?</t>
  </si>
  <si>
    <t>Name is recorded incorrectly</t>
  </si>
  <si>
    <t>format-date-time(decimal-date-time(today()) + 30,'%Y-%m-%d')</t>
  </si>
  <si>
    <t>Enumerator: please confirm the birth year of the respondent (for confirmation) (_${resp_calcyear}_ year)</t>
  </si>
  <si>
    <t>Имя введено неправильно</t>
  </si>
  <si>
    <t>greeting</t>
  </si>
  <si>
    <t>Переехал</t>
  </si>
  <si>
    <t>Женился/вышла замуж и переехал(а)</t>
  </si>
  <si>
    <t>Умер</t>
  </si>
  <si>
    <t>p16</t>
  </si>
  <si>
    <t>p17</t>
  </si>
  <si>
    <t>p18</t>
  </si>
  <si>
    <t>p19</t>
  </si>
  <si>
    <t>p20</t>
  </si>
  <si>
    <t>p21</t>
  </si>
  <si>
    <t>p22</t>
  </si>
  <si>
    <t>p23</t>
  </si>
  <si>
    <t>p24</t>
  </si>
  <si>
    <t>p25</t>
  </si>
  <si>
    <t>age16</t>
  </si>
  <si>
    <t>age17</t>
  </si>
  <si>
    <t>age18</t>
  </si>
  <si>
    <t>age19</t>
  </si>
  <si>
    <t>age20</t>
  </si>
  <si>
    <t>age21</t>
  </si>
  <si>
    <t>age22</t>
  </si>
  <si>
    <t>age23</t>
  </si>
  <si>
    <t>age24</t>
  </si>
  <si>
    <t>age25</t>
  </si>
  <si>
    <t>adult16</t>
  </si>
  <si>
    <t>adult17</t>
  </si>
  <si>
    <t>adult18</t>
  </si>
  <si>
    <t>adult19</t>
  </si>
  <si>
    <t>adult20</t>
  </si>
  <si>
    <t>adult21</t>
  </si>
  <si>
    <t>adult22</t>
  </si>
  <si>
    <t>adult23</t>
  </si>
  <si>
    <t>adult24</t>
  </si>
  <si>
    <t>adult25</t>
  </si>
  <si>
    <t>if (${age16}&gt;15,${p16},'')</t>
  </si>
  <si>
    <t>if (${age17}&gt;15,${p17},'')</t>
  </si>
  <si>
    <t>if (${age18}&gt;15,${p18},'')</t>
  </si>
  <si>
    <t>if (${age19}&gt;15,${p19},'')</t>
  </si>
  <si>
    <t>if (${age20}&gt;15,${p20},'')</t>
  </si>
  <si>
    <t>if (${age21}&gt;15,${p21},'')</t>
  </si>
  <si>
    <t>if (${age22}&gt;15,${p22},'')</t>
  </si>
  <si>
    <t>if (${age23}&gt;15,${p23},'')</t>
  </si>
  <si>
    <t>if (${age24}&gt;15,${p24},'')</t>
  </si>
  <si>
    <t>if (${age25}&gt;15,${p25},'')</t>
  </si>
  <si>
    <t>${adult16}</t>
  </si>
  <si>
    <t>${adult21}</t>
  </si>
  <si>
    <t>${adult22}</t>
  </si>
  <si>
    <t>${adult23}</t>
  </si>
  <si>
    <t>${adult24}</t>
  </si>
  <si>
    <t>${adult25}</t>
  </si>
  <si>
    <t>${adult17}</t>
  </si>
  <si>
    <t>${adult18}</t>
  </si>
  <si>
    <t>${adult19}</t>
  </si>
  <si>
    <t>${adult20}</t>
  </si>
  <si>
    <t>next_</t>
  </si>
  <si>
    <t>Moved out</t>
  </si>
  <si>
    <t>Married and moved out</t>
  </si>
  <si>
    <t>Died</t>
  </si>
  <si>
    <t>Укажите в валюте, в которой был сделан перевод.</t>
  </si>
  <si>
    <t>В данный момент живет или временно пребывает зарубежом</t>
  </si>
  <si>
    <t>Выполнил ли какую-нибудь работу для получения зарплаты, гонорара или дохода</t>
  </si>
  <si>
    <t>Уведомление о следующем опросе и обновление номера телефона</t>
  </si>
  <si>
    <t>resp_name_wrong</t>
  </si>
  <si>
    <t>Empty name</t>
  </si>
  <si>
    <t>oldp16</t>
  </si>
  <si>
    <t>oldp17</t>
  </si>
  <si>
    <t>oldp18</t>
  </si>
  <si>
    <t>oldp19</t>
  </si>
  <si>
    <t>oldp20</t>
  </si>
  <si>
    <t>oldp21</t>
  </si>
  <si>
    <t>oldp22</t>
  </si>
  <si>
    <t>oldp23</t>
  </si>
  <si>
    <t>oldp24</t>
  </si>
  <si>
    <t>oldp25</t>
  </si>
  <si>
    <t>oldage16</t>
  </si>
  <si>
    <t>oldage17</t>
  </si>
  <si>
    <t>oldage18</t>
  </si>
  <si>
    <t>oldage19</t>
  </si>
  <si>
    <t>oldage20</t>
  </si>
  <si>
    <t>oldage21</t>
  </si>
  <si>
    <t>oldage22</t>
  </si>
  <si>
    <t>oldage23</t>
  </si>
  <si>
    <t>oldage24</t>
  </si>
  <si>
    <t>oldage25</t>
  </si>
  <si>
    <t>oldadult16</t>
  </si>
  <si>
    <t>oldadult17</t>
  </si>
  <si>
    <t>oldadult18</t>
  </si>
  <si>
    <t>oldadult19</t>
  </si>
  <si>
    <t>oldadult20</t>
  </si>
  <si>
    <t>oldadult21</t>
  </si>
  <si>
    <t>oldadult22</t>
  </si>
  <si>
    <t>oldadult23</t>
  </si>
  <si>
    <t>oldadult24</t>
  </si>
  <si>
    <t>oldadult25</t>
  </si>
  <si>
    <t>${oldadult1}</t>
  </si>
  <si>
    <t>${oldadult2}</t>
  </si>
  <si>
    <t>${oldadult3}</t>
  </si>
  <si>
    <t>${oldadult4}</t>
  </si>
  <si>
    <t>${oldadult5}</t>
  </si>
  <si>
    <t>${oldadult6}</t>
  </si>
  <si>
    <t>${oldadult7}</t>
  </si>
  <si>
    <t>${oldadult8}</t>
  </si>
  <si>
    <t>${oldadult9}</t>
  </si>
  <si>
    <t>${oldadult10}</t>
  </si>
  <si>
    <t>${oldadult11}</t>
  </si>
  <si>
    <t>${oldadult12}</t>
  </si>
  <si>
    <t>${oldadult13}</t>
  </si>
  <si>
    <t>${oldadult14}</t>
  </si>
  <si>
    <t>${oldadult15}</t>
  </si>
  <si>
    <t>4 Какие пособия получает Ваше домохозяйство (выбрать не более 3 ответов)?</t>
  </si>
  <si>
    <t>${agreement}=1 and jr:choice-name(${resp_name}, '${resp_name}')=''</t>
  </si>
  <si>
    <t>Хорошо</t>
  </si>
  <si>
    <t>Плохо</t>
  </si>
  <si>
    <t>Очень плохо</t>
  </si>
  <si>
    <t>Отлично</t>
  </si>
  <si>
    <t>${hhid}</t>
  </si>
  <si>
    <t>emp_hhid</t>
  </si>
  <si>
    <t>Пустое имя. Вернитесь назад и выберите имя респондента.</t>
  </si>
  <si>
    <t>calcage</t>
  </si>
  <si>
    <t>int((decimal-date-time(today()) - decimal-date-time(${dob})) div 365.25)</t>
  </si>
  <si>
    <t>date</t>
  </si>
  <si>
    <t>dob</t>
  </si>
  <si>
    <t>In what year, month and on what day was _${name}_ born?</t>
  </si>
  <si>
    <t>В каком году, месяце и какого числа родился(лась) _${name}_?</t>
  </si>
  <si>
    <t>. &lt;= today()</t>
  </si>
  <si>
    <t>Age (${calcage} years)</t>
  </si>
  <si>
    <t>Возраст (${calcage} лет)</t>
  </si>
  <si>
    <t>correct_dob</t>
  </si>
  <si>
    <t>Please, tell us the correct date of birth for _${fmidname}_ ?</t>
  </si>
  <si>
    <t>Age is recorded incorrectly</t>
  </si>
  <si>
    <t>Возраст введен неправильно</t>
  </si>
  <si>
    <t>calcoldage</t>
  </si>
  <si>
    <t>int((decimal-date-time(today()) - decimal-date-time(${correct_dob})) div 365.25)</t>
  </si>
  <si>
    <t>if(${agreement}='','',once(now()))</t>
  </si>
  <si>
    <t>decimal</t>
  </si>
  <si>
    <t>Все номера неверные</t>
  </si>
  <si>
    <t>Кол-во попыток &gt;=10 и кол-во дней &gt;= 5</t>
  </si>
  <si>
    <t xml:space="preserve">The reason of the refusal? </t>
  </si>
  <si>
    <t>Причина отказа?</t>
  </si>
  <si>
    <t>fmid_max</t>
  </si>
  <si>
    <t>${fmid_max} + position(..)</t>
  </si>
  <si>
    <t>Russian</t>
  </si>
  <si>
    <t>English</t>
  </si>
  <si>
    <t>Русский</t>
  </si>
  <si>
    <t>Английский</t>
  </si>
  <si>
    <t>${fmidname}!=''</t>
  </si>
  <si>
    <t>Оставьте пустым, если тот же номер, на который дозвонились.</t>
  </si>
  <si>
    <t>Leave blank if the same number you called.</t>
  </si>
  <si>
    <t>if (${oldage16}&gt;15,${oldp16},'')</t>
  </si>
  <si>
    <t>if (${oldage17}&gt;15,${oldp17},'')</t>
  </si>
  <si>
    <t>${fmid_max}</t>
  </si>
  <si>
    <t>${oldadult16}</t>
  </si>
  <si>
    <t>${oldadult17}</t>
  </si>
  <si>
    <t>filter_empty&lt;=${fmid_max}</t>
  </si>
  <si>
    <t>if (${oldage18}&gt;15,${oldp18},'')</t>
  </si>
  <si>
    <t>if (${oldage19}&gt;15,${oldp19},'')</t>
  </si>
  <si>
    <t>if (${oldage20}&gt;15,${oldp20},'')</t>
  </si>
  <si>
    <t>if (${oldage21}&gt;15,${oldp21},'')</t>
  </si>
  <si>
    <t>if (${oldage22}&gt;15,${oldp22},'')</t>
  </si>
  <si>
    <t>if (${oldage23}&gt;15,${oldp23},'')</t>
  </si>
  <si>
    <t>if (${oldage24}&gt;15,${oldp24},'')</t>
  </si>
  <si>
    <t>if (${oldage25}&gt;15,${oldp25},'')</t>
  </si>
  <si>
    <t>round</t>
  </si>
  <si>
    <t>filter_rnd</t>
  </si>
  <si>
    <t>${oldadult18}</t>
  </si>
  <si>
    <t>${oldadult19}</t>
  </si>
  <si>
    <t>${oldadult20}</t>
  </si>
  <si>
    <t>${oldadult21}</t>
  </si>
  <si>
    <t>${oldadult22}</t>
  </si>
  <si>
    <t>${oldadult23}</t>
  </si>
  <si>
    <t>${oldadult24}</t>
  </si>
  <si>
    <t>${oldadult25}</t>
  </si>
  <si>
    <t>thousands-sep</t>
  </si>
  <si>
    <t>note_hhid</t>
  </si>
  <si>
    <t>Оператор: Проверьте ID-номер ДОМОХОЗЯЙСТВА __&lt;span style="color:red"&gt;${hhid}&lt;/span&gt;__</t>
  </si>
  <si>
    <t>default_language</t>
  </si>
  <si>
    <t>Too high</t>
  </si>
  <si>
    <t>About right</t>
  </si>
  <si>
    <t>Too low</t>
  </si>
  <si>
    <t>More construction of urban housing</t>
  </si>
  <si>
    <t>About the same amount of construction of urban housing</t>
  </si>
  <si>
    <t>Less construction of urban housing</t>
  </si>
  <si>
    <t>Слишком дорого</t>
  </si>
  <si>
    <t>Нормально</t>
  </si>
  <si>
    <t>Слишком дешево</t>
  </si>
  <si>
    <t>Больше строительства городского жилья</t>
  </si>
  <si>
    <t>Примерно столько же строительство городского жилья</t>
  </si>
  <si>
    <t>Меньше строительства городского жилья</t>
  </si>
  <si>
    <t>gender</t>
  </si>
  <si>
    <t>resp_gender</t>
  </si>
  <si>
    <t>resp_genderlabel</t>
  </si>
  <si>
    <t>jr:choice-name(${resp_gender}, '${resp_gender}')</t>
  </si>
  <si>
    <t>_Не спрашивая укажите пол респондента_</t>
  </si>
  <si>
    <t>не спрашивать</t>
  </si>
  <si>
    <t>don't ask</t>
  </si>
  <si>
    <t>_Specify gender of the respondent_</t>
  </si>
  <si>
    <t>Both</t>
  </si>
  <si>
    <t>.&lt;=30 and .&gt;0</t>
  </si>
  <si>
    <t>time_covid</t>
  </si>
  <si>
    <t>COVID-19</t>
  </si>
  <si>
    <t>Television</t>
  </si>
  <si>
    <t>Radio</t>
  </si>
  <si>
    <t>Social media</t>
  </si>
  <si>
    <t>Via SMS</t>
  </si>
  <si>
    <t>Телевидение</t>
  </si>
  <si>
    <t>Радио</t>
  </si>
  <si>
    <t>Социальные медиа</t>
  </si>
  <si>
    <t>Very concerned</t>
  </si>
  <si>
    <t>Somewhat concerned</t>
  </si>
  <si>
    <t>Mostly unconcerned</t>
  </si>
  <si>
    <t>Not concerned at all</t>
  </si>
  <si>
    <t>Очень обеспокоен</t>
  </si>
  <si>
    <t>Несколько обеспокоен</t>
  </si>
  <si>
    <t>More handwashing</t>
  </si>
  <si>
    <t>Less/no travel</t>
  </si>
  <si>
    <t>Less/no visiting local friends/relatives</t>
  </si>
  <si>
    <t>Less/no working outside of the home</t>
  </si>
  <si>
    <t>Wearing masks</t>
  </si>
  <si>
    <t>Social distancing/staying farther away from people</t>
  </si>
  <si>
    <t>Purchasing more food/other resources</t>
  </si>
  <si>
    <t>Другое (указать)</t>
  </si>
  <si>
    <t>Prefer not to say</t>
  </si>
  <si>
    <t>Предпочитаю не говорить</t>
  </si>
  <si>
    <t>Decreased substantially</t>
  </si>
  <si>
    <t xml:space="preserve">Decreased moderately </t>
  </si>
  <si>
    <t xml:space="preserve">Increased moderately </t>
  </si>
  <si>
    <t xml:space="preserve">Increased substantially </t>
  </si>
  <si>
    <t>Существенно снизился</t>
  </si>
  <si>
    <t>Уменьшился умеренно</t>
  </si>
  <si>
    <t>Увеличено умеренно</t>
  </si>
  <si>
    <t>Существенно увеличилось</t>
  </si>
  <si>
    <t>В основном не обеспокоен</t>
  </si>
  <si>
    <t>Вообще не обеспокоен</t>
  </si>
  <si>
    <t>Больше мою руки</t>
  </si>
  <si>
    <t>Меньше или воздерживаемся от поездок</t>
  </si>
  <si>
    <t>Меньше, или не работаем вне дома</t>
  </si>
  <si>
    <t>Ношу маску</t>
  </si>
  <si>
    <t>fmid_list</t>
  </si>
  <si>
    <t>form_title</t>
  </si>
  <si>
    <t>instance_name</t>
  </si>
  <si>
    <t>kc.humanitarianresponse.info:L2CU_CATI_2020</t>
  </si>
  <si>
    <t>Social allowances</t>
  </si>
  <si>
    <t>Very satisfied</t>
  </si>
  <si>
    <t>Unemployment benefits</t>
  </si>
  <si>
    <t>Borrowing</t>
  </si>
  <si>
    <t>Pensions</t>
  </si>
  <si>
    <t>Assistance from neighbors, local community</t>
  </si>
  <si>
    <t>Unemployment insurance (gov)</t>
  </si>
  <si>
    <t>fmage_list</t>
  </si>
  <si>
    <t>concat(${age1},' ', ${age2},' ', ${age3},' ', ${age4},' ', ${age5},' ', ${age6},' ', ${age7},' ', ${age8},' ', ${age9},' ', ${age10},' ', ${age11},' ', ${age12},' ', ${age13},' ', ${age14},' ', ${age15},' ', ${age16},' ', ${age17},' ', ${age18},' ', ${age19},' ', ${age20},' ', ${age21},' ', ${age22},' ', ${age23},' ', ${age24},' ', ${age25})</t>
  </si>
  <si>
    <t>Другой</t>
  </si>
  <si>
    <t>Пенсия</t>
  </si>
  <si>
    <t>Социальные пособия</t>
  </si>
  <si>
    <t>Заимствование</t>
  </si>
  <si>
    <t>Помощь от соседей, местного сообщества</t>
  </si>
  <si>
    <t>Страхование по безработице (правительство)</t>
  </si>
  <si>
    <t>Пенсии</t>
  </si>
  <si>
    <t>Очень доволен</t>
  </si>
  <si>
    <t>Head</t>
  </si>
  <si>
    <t>Grandchild</t>
  </si>
  <si>
    <t>Grandparent</t>
  </si>
  <si>
    <t>Глава</t>
  </si>
  <si>
    <t>No answer/do not know</t>
  </si>
  <si>
    <t>Нет ответа/не знаю</t>
  </si>
  <si>
    <t>All phone number are wrong</t>
  </si>
  <si>
    <t>Number of tries &gt;= 10 and number of days tried &gt;= 5</t>
  </si>
  <si>
    <t>Very bad</t>
  </si>
  <si>
    <t>South korea</t>
  </si>
  <si>
    <t>Южная корея</t>
  </si>
  <si>
    <t>Usa</t>
  </si>
  <si>
    <t>Сша</t>
  </si>
  <si>
    <t>South Korea</t>
  </si>
  <si>
    <t>Южная Корея</t>
  </si>
  <si>
    <t>Got married/decided to start a family</t>
  </si>
  <si>
    <t>Part time</t>
  </si>
  <si>
    <t>Full time</t>
  </si>
  <si>
    <t>Completely agree</t>
  </si>
  <si>
    <t>Completely disagree</t>
  </si>
  <si>
    <t>Introduce a lifeline tariff so that a small amount of electricity every month is available at lower cost</t>
  </si>
  <si>
    <t>Обеспечить большую прямую финансовую поддержку людям с низким доходом</t>
  </si>
  <si>
    <t>Provide government subsidies to the electricity provider to lower tariffs for all users</t>
  </si>
  <si>
    <t>Предоставлять правительственные субсидии поставщикам электроэнергии для снижения тарифов для всех пользователей</t>
  </si>
  <si>
    <t>Provide financial support for repairs and updates that make housing more energy efficient (such as better insulation, low-energy use light bulbs, and better windows)</t>
  </si>
  <si>
    <t>Обеспечить финансовую поддержку для ремонта и обновления, которые делают жилье более энергоэффективным (например, улучшенная теплоизоляция, энергосберегающие лампочки с низким энергопотреблением и современные окна)</t>
  </si>
  <si>
    <t>Raise tariffs on businesses to keep tariffs for other users lower</t>
  </si>
  <si>
    <t>Повысить тарифы на предприятия, чтобы снизить тарифы для других пользователей</t>
  </si>
  <si>
    <t>Provide government subsidies to the gas provider to lower tariffs for all users</t>
  </si>
  <si>
    <t>Wine (liter)</t>
  </si>
  <si>
    <t>Spouse/partner</t>
  </si>
  <si>
    <t>Супруга/партнер</t>
  </si>
  <si>
    <t>Son/daughter</t>
  </si>
  <si>
    <t>Сын/дочь</t>
  </si>
  <si>
    <t>Son/daughter-in-law</t>
  </si>
  <si>
    <t>Зять/сноха</t>
  </si>
  <si>
    <t>Father/mother</t>
  </si>
  <si>
    <t>Отец/мать</t>
  </si>
  <si>
    <t>Father/mother-in-law</t>
  </si>
  <si>
    <t>Тесть/тёща</t>
  </si>
  <si>
    <t>Sister/brother</t>
  </si>
  <si>
    <t>Сестра/брат</t>
  </si>
  <si>
    <t>Внук/внучка</t>
  </si>
  <si>
    <t>Бабушка/дедушка</t>
  </si>
  <si>
    <t>Niece/nephew</t>
  </si>
  <si>
    <t>Племянница/племянник</t>
  </si>
  <si>
    <t>Foster child</t>
  </si>
  <si>
    <t>Приемный ребенок</t>
  </si>
  <si>
    <t>Other relative</t>
  </si>
  <si>
    <t>Другой родственник</t>
  </si>
  <si>
    <t>Not related</t>
  </si>
  <si>
    <t>Не родственник</t>
  </si>
  <si>
    <t>Newspaper (print or online)</t>
  </si>
  <si>
    <t>Газета (печатная или онлайн)</t>
  </si>
  <si>
    <t>Через СМС</t>
  </si>
  <si>
    <t>In person (health authority)</t>
  </si>
  <si>
    <t>Лично (орган здравоохранения)</t>
  </si>
  <si>
    <t>In person (other)</t>
  </si>
  <si>
    <t>Лично (другое)</t>
  </si>
  <si>
    <t>Меньше рукопожатий/поцелуев приветствий</t>
  </si>
  <si>
    <t>Меньше посещений друзей/знакомых/родственников</t>
  </si>
  <si>
    <t>Социальная дистанция/держусь подальше от людей</t>
  </si>
  <si>
    <t>Покупаем больше еды/других ресурсов</t>
  </si>
  <si>
    <t>Self-quarantine/self isolation of potentially ill household members</t>
  </si>
  <si>
    <t>Самокарантин/самоизоляция потенциально больных членов семьи</t>
  </si>
  <si>
    <t>Just use the default answer! Don't leave it blank!</t>
  </si>
  <si>
    <t>ret_end</t>
  </si>
  <si>
    <t>if(${ret_end}='' , '', once(now()))</t>
  </si>
  <si>
    <t>emp_end</t>
  </si>
  <si>
    <t>if(${emp_end}='' , '', once(now()))</t>
  </si>
  <si>
    <t>This is the end of ROSTER.</t>
  </si>
  <si>
    <t>This is the end of SHOCKS.</t>
  </si>
  <si>
    <t>This is the end of WELLBEING.</t>
  </si>
  <si>
    <t>This is the end of MIGRATION CONSIDERATION.</t>
  </si>
  <si>
    <t>This is the end of MIGRATION RETURN.</t>
  </si>
  <si>
    <t>This is the end of CURRENT MIGRATION.</t>
  </si>
  <si>
    <t>mig_end</t>
  </si>
  <si>
    <t>This is the end of MIGRATION.</t>
  </si>
  <si>
    <t>if(${mig_end}='' , '', once(now()))</t>
  </si>
  <si>
    <t>This is the end of CURRENT EMPLOYMENT.</t>
  </si>
  <si>
    <t>This is the end of JOB SEARCH.</t>
  </si>
  <si>
    <t>This is the end of ACTIVITY.</t>
  </si>
  <si>
    <t>This is the end of VIEWS.</t>
  </si>
  <si>
    <t>inc_end</t>
  </si>
  <si>
    <t>This is the end of INCOMES.</t>
  </si>
  <si>
    <t>if(${inc_end}='' , '', once(now()))</t>
  </si>
  <si>
    <t>This is the end of SAVINGS.</t>
  </si>
  <si>
    <t>This is the end of COVID-19.</t>
  </si>
  <si>
    <t>if(${p1}='','','1 ')</t>
  </si>
  <si>
    <t>if(${p2}='','','2 ')</t>
  </si>
  <si>
    <t>if(${p3}='','','3 ')</t>
  </si>
  <si>
    <t>if(${p4}='','','4 ')</t>
  </si>
  <si>
    <t>if(${p5}='','','5 ')</t>
  </si>
  <si>
    <t>if(${p6}='','','6 ')</t>
  </si>
  <si>
    <t>if(${p7}='','','7 ')</t>
  </si>
  <si>
    <t>if(${p8}='','','8 ')</t>
  </si>
  <si>
    <t>if(${p9}='','','9 ')</t>
  </si>
  <si>
    <t>if(${p10}='','','10 ')</t>
  </si>
  <si>
    <t>if(${p11}='','','11 ')</t>
  </si>
  <si>
    <t>if(${p12}='','','12 ')</t>
  </si>
  <si>
    <t>if(${p13}='','','13 ')</t>
  </si>
  <si>
    <t>if(${p14}='','','14 ')</t>
  </si>
  <si>
    <t>if(${p15}='','','15 ')</t>
  </si>
  <si>
    <t>if(${p16}='','','16 ')</t>
  </si>
  <si>
    <t>if(${p17}='','','17 ')</t>
  </si>
  <si>
    <t>if(${p18}='','','18 ')</t>
  </si>
  <si>
    <t>if(${p19}='','','19 ')</t>
  </si>
  <si>
    <t>if(${p20}='','','20 ')</t>
  </si>
  <si>
    <t>if(${p21}='','','21 ')</t>
  </si>
  <si>
    <t>if(${p22}='','','22 ')</t>
  </si>
  <si>
    <t>if(${p23}='','','23 ')</t>
  </si>
  <si>
    <t>if(${p24}='','','24 ')</t>
  </si>
  <si>
    <t>if(${p25}='','','25 ')</t>
  </si>
  <si>
    <t>End of Section</t>
  </si>
  <si>
    <t>Конец Секции</t>
  </si>
  <si>
    <t>.=1</t>
  </si>
  <si>
    <t>Конец секции Благосостояние</t>
  </si>
  <si>
    <t>Конец секции Миграция - Собирается поехать</t>
  </si>
  <si>
    <t>Конец секции Миграция - Вернулся</t>
  </si>
  <si>
    <t>Конец секции Миграция - Находится в миграции</t>
  </si>
  <si>
    <t>Конец секции Миграция</t>
  </si>
  <si>
    <t>Конец секции Трудовая деятельность - Сейчас работает</t>
  </si>
  <si>
    <t>Конец секции Трудовая деятельность - Ищет работу</t>
  </si>
  <si>
    <t>Конец секции Трудовая деятельность</t>
  </si>
  <si>
    <t>Конец секции Взгляды и убеждения</t>
  </si>
  <si>
    <t>Конец секции Доходы</t>
  </si>
  <si>
    <t>Конец секции Сбережения</t>
  </si>
  <si>
    <t>Конец секции COVID19</t>
  </si>
  <si>
    <t>time_inc</t>
  </si>
  <si>
    <t>label</t>
  </si>
  <si>
    <t>list-nolabel</t>
  </si>
  <si>
    <t>Poor</t>
  </si>
  <si>
    <t>Somewhat often</t>
  </si>
  <si>
    <t xml:space="preserve">Boredom </t>
  </si>
  <si>
    <t xml:space="preserve">Little access to internet </t>
  </si>
  <si>
    <t xml:space="preserve">Spending too much time on internet </t>
  </si>
  <si>
    <t xml:space="preserve">Staying away from family and/or friends </t>
  </si>
  <si>
    <t>Очень хорошо</t>
  </si>
  <si>
    <t>Очень часто</t>
  </si>
  <si>
    <t>Сколько членов из Вашего домохозяйства в данный момент ищут работу?</t>
  </si>
  <si>
    <t>likert</t>
  </si>
  <si>
    <t>media::image</t>
  </si>
  <si>
    <t>Эта оценка поможет Вам при общении с этим респондентом в следующем раунде.</t>
  </si>
  <si>
    <t>Very dissatisfied</t>
  </si>
  <si>
    <t>Dissatisfied</t>
  </si>
  <si>
    <t>Neutral</t>
  </si>
  <si>
    <t>Очень недовлен</t>
  </si>
  <si>
    <t>Недоволен</t>
  </si>
  <si>
    <t>Нейтрален</t>
  </si>
  <si>
    <t>Доволен</t>
  </si>
  <si>
    <t>Пожалуйста, укажите дату рождения _${fmidname}_</t>
  </si>
  <si>
    <t>Definitely get the vaccine</t>
  </si>
  <si>
    <t>Probably get the vaccine</t>
  </si>
  <si>
    <t>Probably NOT get the vaccine</t>
  </si>
  <si>
    <t>Definitely NOT get the vaccine</t>
  </si>
  <si>
    <t>Do not know</t>
  </si>
  <si>
    <t>Sputnik V</t>
  </si>
  <si>
    <t>Sinopharm</t>
  </si>
  <si>
    <t>AstraZeneca</t>
  </si>
  <si>
    <t>Moderna</t>
  </si>
  <si>
    <t>Pfizer</t>
  </si>
  <si>
    <t>Negative past experiences with vaccines</t>
  </si>
  <si>
    <t>Lack of trust to heath system or healthcare providers</t>
  </si>
  <si>
    <t>The risk of vaccinating is higher than the benefits</t>
  </si>
  <si>
    <t>Personal or religious beliefs</t>
  </si>
  <si>
    <t>Lack of trust to producers of vaccines</t>
  </si>
  <si>
    <t>Counter-indication or prolonged medical discharge</t>
  </si>
  <si>
    <t>Other [if nothing above applies]</t>
  </si>
  <si>
    <t>Отрицательный опыт применения вакцин в прошлом</t>
  </si>
  <si>
    <t>Недоверие системе здравоохранения или поставщикам медицинских услуг</t>
  </si>
  <si>
    <t>Риски от вакцинации выше, чем польза</t>
  </si>
  <si>
    <t>Личные или религиозные убеждения</t>
  </si>
  <si>
    <t>Недоверие к производителям вакцин</t>
  </si>
  <si>
    <t>Медицинские противопоказания</t>
  </si>
  <si>
    <t>Обязательно сделали бы прививку</t>
  </si>
  <si>
    <t>Скорее сделали бы прививку</t>
  </si>
  <si>
    <t>Скорее НЕ сделали бы прививку</t>
  </si>
  <si>
    <t>Однозначно НЕ сделали бы прививку</t>
  </si>
  <si>
    <t>Any available</t>
  </si>
  <si>
    <t>Already got the vaccine</t>
  </si>
  <si>
    <t>Уже получил привику</t>
  </si>
  <si>
    <t xml:space="preserve">Newspapers </t>
  </si>
  <si>
    <t>Health workers</t>
  </si>
  <si>
    <t>Ministry of Health</t>
  </si>
  <si>
    <t>Celebrities and social media influencers</t>
  </si>
  <si>
    <t>World Health Organization (WHO)</t>
  </si>
  <si>
    <t>COVID-19 Hotline</t>
  </si>
  <si>
    <t>Religious leaders</t>
  </si>
  <si>
    <t>Very difficult</t>
  </si>
  <si>
    <t>Difficult</t>
  </si>
  <si>
    <t>Somewhat difficult</t>
  </si>
  <si>
    <t>Not difficult</t>
  </si>
  <si>
    <t>Very easy</t>
  </si>
  <si>
    <t xml:space="preserve">Телевидение </t>
  </si>
  <si>
    <t xml:space="preserve">Газеты </t>
  </si>
  <si>
    <t xml:space="preserve">Медицинские работники </t>
  </si>
  <si>
    <t xml:space="preserve">Социальные медиа </t>
  </si>
  <si>
    <t xml:space="preserve">Радио </t>
  </si>
  <si>
    <t xml:space="preserve">Министерство здравоохранения </t>
  </si>
  <si>
    <t xml:space="preserve">Знаменитости и влиятельные лица в социальных сетях </t>
  </si>
  <si>
    <t xml:space="preserve">Всемирная организация здравоохранения (ВОЗ) </t>
  </si>
  <si>
    <t xml:space="preserve">Горячая линия COVID-19 </t>
  </si>
  <si>
    <t>Религиозные лидеры</t>
  </si>
  <si>
    <t>Очень сложно</t>
  </si>
  <si>
    <t>Сложно</t>
  </si>
  <si>
    <t>Немного сложно</t>
  </si>
  <si>
    <t>Не сложно</t>
  </si>
  <si>
    <t>Очень легко</t>
  </si>
  <si>
    <t>Намуна: 998901234567</t>
  </si>
  <si>
    <t>fmname_list</t>
  </si>
  <si>
    <t>concat(translate(${p1},' ','_'),' ', translate(${p2},' ','_'),' ', translate(${p3},' ','_'),' ', translate(${p4},' ','_'),' ', translate(${p5},' ','_'),' ', translate(${p6},' ','_'),' ', translate(${p7},' ','_'),' ', translate(${p8},' ','_'),' ', translate(${p9},' ','_'),' ', translate(${p10},' ','_'),' ', translate(${p11},' ','_'),' ', translate(${p12},' ','_'),' ', translate(${p13},' ','_'),' ', translate(${p14},' ','_'),' ', translate(${p15},' ','_'),' ', translate(${p16},' ','_'),' ', translate(${p17},' ','_'),' ', translate(${p18},' ','_'),' ', translate(${p19},' ','_'),' ', translate(${p20},' ','_'),' ', translate(${p21},' ','_'),' ', translate(${p22},' ','_'),' ', translate(${p23},' ','_'),' ', translate(${p24},' ','_'),' ', translate(${p25},' ','_'))</t>
  </si>
  <si>
    <t>No need for internet (useless, not interesting)</t>
  </si>
  <si>
    <t>Have an internet connection elsewhere</t>
  </si>
  <si>
    <t>The cost of the device required to connect to the internet is very high.</t>
  </si>
  <si>
    <t>The cost of using the Internet (payment for Internet services) is very high.</t>
  </si>
  <si>
    <t>No access to internet services in a residential area</t>
  </si>
  <si>
    <t>Cultural reasons (for example, the influence of negative information on the pages, etc.)</t>
  </si>
  <si>
    <t>In order to maintain confidentiality and security</t>
  </si>
  <si>
    <t>Mistrust of the internet, lack of knowledge or skills to use the internet</t>
  </si>
  <si>
    <t>There are internet services in the area, but they do not meet the requirements (for example, in terms of quality, speed).</t>
  </si>
  <si>
    <t>Lack of local communications</t>
  </si>
  <si>
    <t>Lack of electricity in the house</t>
  </si>
  <si>
    <t>Other, specify</t>
  </si>
  <si>
    <t>Mobile phone or smartphone via mobile network</t>
  </si>
  <si>
    <t>Mobile phone or smartphone via wireless network (WiFi, etc.)</t>
  </si>
  <si>
    <t>Laptop/netbook over mobile network</t>
  </si>
  <si>
    <t>Laptop/netbook via wireless network (WiFi, etc.)</t>
  </si>
  <si>
    <t>Tablet PC over a mobile network</t>
  </si>
  <si>
    <t>Tablet computer via wireless network (WiFi, etc.)</t>
  </si>
  <si>
    <t>Other devices</t>
  </si>
  <si>
    <t>Sending/receiving emails</t>
  </si>
  <si>
    <t>Visiting social networking sites</t>
  </si>
  <si>
    <t>General internet browsing</t>
  </si>
  <si>
    <t>Instant messaging (WhatsApp, Skype, WeChat)</t>
  </si>
  <si>
    <t>Online banking or electronic payments</t>
  </si>
  <si>
    <t>Online shopping or selling</t>
  </si>
  <si>
    <t>Online education</t>
  </si>
  <si>
    <t>Remote work due to COVID</t>
  </si>
  <si>
    <t>Searching for jobs</t>
  </si>
  <si>
    <t>Nothing, no limitation</t>
  </si>
  <si>
    <t>High cost of internet</t>
  </si>
  <si>
    <t>Issues with my phone, tablet or computer</t>
  </si>
  <si>
    <t>Speed of internet</t>
  </si>
  <si>
    <t>Worried about getting virus/malware</t>
  </si>
  <si>
    <t xml:space="preserve">Worried about getting tracked/surveilled </t>
  </si>
  <si>
    <t>I find it difficult to use</t>
  </si>
  <si>
    <t xml:space="preserve">Not allowed to use it more (family, spouse, parents) </t>
  </si>
  <si>
    <t>Lack of content in my language</t>
  </si>
  <si>
    <t>Мобильный телефон или смартфон через мобильную сеть</t>
  </si>
  <si>
    <t>Ноутбук / нетбук через мобильную сеть</t>
  </si>
  <si>
    <t>Планшетный ПК через мобильную сеть</t>
  </si>
  <si>
    <t>Другие устройства</t>
  </si>
  <si>
    <t>Мобильный телефон или смартфон через беспроводную сеть (WiFi и т.д.)</t>
  </si>
  <si>
    <t>Ноутбук / нетбук через беспроводную сеть (WiFi и т.д.)</t>
  </si>
  <si>
    <t>Планшетный компьютер через беспроводную сеть (WiFi и т.д.)</t>
  </si>
  <si>
    <t>Посещение сайтов социальных сетей</t>
  </si>
  <si>
    <t>Интернет-банкинг или электронные платежи</t>
  </si>
  <si>
    <t>Интернет-магазины или продажи</t>
  </si>
  <si>
    <t>Онлайн-образование</t>
  </si>
  <si>
    <t>Удаленная работа из-за COVID</t>
  </si>
  <si>
    <t>Поиск работы</t>
  </si>
  <si>
    <t>Другое, укажите</t>
  </si>
  <si>
    <t>Отправка / получение электронных писем</t>
  </si>
  <si>
    <t>Посещение сайтов Интернета</t>
  </si>
  <si>
    <t>Обмен сообщениями (Telegram, WhatsApp, Skype, WeChat и т.д.)</t>
  </si>
  <si>
    <t>Высокая стоимость интернета</t>
  </si>
  <si>
    <t>Проблемы с моим телефоном, планшетом или компьютером</t>
  </si>
  <si>
    <t>Скорость интернета</t>
  </si>
  <si>
    <t>Беспокоитесь о заражении вирусом / вредоносным ПО</t>
  </si>
  <si>
    <t>Беспокоитесь о том, что вас будут отслеживать / контролировать</t>
  </si>
  <si>
    <t>Мне трудно использовать</t>
  </si>
  <si>
    <t>Ничего, нет ограничений</t>
  </si>
  <si>
    <t>Отсутствие (мало) информации (сайтов) на моем языке</t>
  </si>
  <si>
    <t>Другие ограничения</t>
  </si>
  <si>
    <t>Нет необходимости в интернете (бесполезно, не интересно)</t>
  </si>
  <si>
    <t>Есть подключение к Интернету в другом месте</t>
  </si>
  <si>
    <t>Стоимость устройства, необходимого для подключения к Интернету, очень высока.</t>
  </si>
  <si>
    <t>Стоимость использования Интернета (оплата Интернет-услуг) очень высока.</t>
  </si>
  <si>
    <t>Нет доступа к интернет-сервисам в жилом районе</t>
  </si>
  <si>
    <t>В целях сохранения конфиденциальности и безопасности</t>
  </si>
  <si>
    <t>Недоверие к Интернету, отсутствие знаний или навыков для использования Интернета</t>
  </si>
  <si>
    <t>Интернет-сервисы в районе есть, но они не соответствуют требованиям (например, по качеству, скорости).</t>
  </si>
  <si>
    <t>Культурные причины (например, влияние негативной информации на страницах и т.д.)</t>
  </si>
  <si>
    <t>Перебои с электричеством в доме</t>
  </si>
  <si>
    <t>Перебои со связью в доме</t>
  </si>
  <si>
    <t>a. “More public financial support should be given to the transition to clean energies even if it means subsidies to fossil fuels should be reduced”</t>
  </si>
  <si>
    <t>f. The government should impose higher taxes on polluting activities, even if it increases the cost of some goods and services.</t>
  </si>
  <si>
    <t>ga_</t>
  </si>
  <si>
    <t>Negative</t>
  </si>
  <si>
    <t>Positive</t>
  </si>
  <si>
    <t>Generally take jobs away</t>
  </si>
  <si>
    <t>Generally help to create new jobs</t>
  </si>
  <si>
    <t>ga1</t>
  </si>
  <si>
    <t>ga2</t>
  </si>
  <si>
    <t>parameters</t>
  </si>
  <si>
    <t>Положительно</t>
  </si>
  <si>
    <t>Отрицательно</t>
  </si>
  <si>
    <t>Занимают рабочие места</t>
  </si>
  <si>
    <t>Помогают создавать новые рабочие места</t>
  </si>
  <si>
    <t>б. «Национальное правительство должно поставить масштабные цели по увеличению количества возобновляемой энергии, такой как энергия ветра или солнца, к 2030 году»</t>
  </si>
  <si>
    <t>label::Kyrgyz (kg)</t>
  </si>
  <si>
    <t>hint::Kyrgyz (kg)</t>
  </si>
  <si>
    <t>Сурамжылоого катышууга макулсузбу?</t>
  </si>
  <si>
    <t>Баш тартуунун себеби?</t>
  </si>
  <si>
    <t>Сурабастан, респонденттин жынысын белгилеңиз</t>
  </si>
  <si>
    <t xml:space="preserve">Мен Сиздин үй чарбаңыздын мүчөлөрүн санайм, ал эми Сиз ал бул үй чарбада жашайбы же жокпу айтыңыз? </t>
  </si>
  <si>
    <t>НЕГИЗИНЕН ҮЙ ЧАРБАДА ЖАШАГАН ЖАНА ЧОГУУ ТАМАКТАНГАНДЫН БААРЫ. МИГРАНТТАРДЫ ЖАНА БАШКА УБАКТЫЛУУ ЖОК БОЛГОН МҮЧӨЛӨРҮН КОШО АЛГАНДА</t>
  </si>
  <si>
    <t>Бөлүмдүн аягы</t>
  </si>
  <si>
    <t>Бул күндөрү катышууга убакыт жок</t>
  </si>
  <si>
    <t>Жеке маалыматымды бөлүшкүм келбейт</t>
  </si>
  <si>
    <t>Учурдагы үй-бүлөлүк көйгөйлөрүнөн улам катыша албайт</t>
  </si>
  <si>
    <t>Жооп жок/билбейм</t>
  </si>
  <si>
    <t xml:space="preserve">Эл аралык уюмдарга ишеним жок                </t>
  </si>
  <si>
    <t>Бардык номерлер туура эмес</t>
  </si>
  <si>
    <t>Аракет саны&gt;=10 жана күндөрдүн саны &gt;= 5</t>
  </si>
  <si>
    <t>Башка</t>
  </si>
  <si>
    <t xml:space="preserve">Нет доверия к международным организациям           </t>
  </si>
  <si>
    <t>No trust in international organizations</t>
  </si>
  <si>
    <t>Эркек</t>
  </si>
  <si>
    <t>Аял</t>
  </si>
  <si>
    <t>_${fmidname}_ - _${fmidage}_ жаш</t>
  </si>
  <si>
    <t>Сураныч, башканы көрсөтүңүз</t>
  </si>
  <si>
    <t>Мурдагы тизмеде көрсөтүлбөгөн, башка (жаңы) үй-бүлө мүчөлөрү барбы?</t>
  </si>
  <si>
    <t>Үйдүн жаңы мүчөсү</t>
  </si>
  <si>
    <t>Аты</t>
  </si>
  <si>
    <t>Жынысы</t>
  </si>
  <si>
    <t>_${name}_кайсы жылы, айда жана күнү туулган?</t>
  </si>
  <si>
    <t>Үй чарбасынын жаңы мүчөсүнүн курагы (${calcage})</t>
  </si>
  <si>
    <t>_${name}_ үй-бүлө башчысына ким болот?</t>
  </si>
  <si>
    <t>Ооба</t>
  </si>
  <si>
    <t>Жок</t>
  </si>
  <si>
    <t>Аты туура эмес киргизилген</t>
  </si>
  <si>
    <t>Курагы туура эмес киргизилген</t>
  </si>
  <si>
    <t xml:space="preserve">Башчы </t>
  </si>
  <si>
    <t xml:space="preserve">Жубайы/өнөктөшү </t>
  </si>
  <si>
    <t xml:space="preserve">Уулу/кызы </t>
  </si>
  <si>
    <t xml:space="preserve">Күйөө баласы/келини </t>
  </si>
  <si>
    <t xml:space="preserve">Атасы/апасы </t>
  </si>
  <si>
    <t xml:space="preserve">Кайнатасы/кайненеси </t>
  </si>
  <si>
    <t>Эжеси/агасы-иниси</t>
  </si>
  <si>
    <t xml:space="preserve">Небереси </t>
  </si>
  <si>
    <t xml:space="preserve">Чоң апасы/чоң атасы </t>
  </si>
  <si>
    <t xml:space="preserve">Жээни </t>
  </si>
  <si>
    <t xml:space="preserve">Бакма бала </t>
  </si>
  <si>
    <t xml:space="preserve">Башка тууган </t>
  </si>
  <si>
    <t xml:space="preserve">Тууган эмес </t>
  </si>
  <si>
    <t>СОККУЛАР</t>
  </si>
  <si>
    <t>ШОКИ</t>
  </si>
  <si>
    <t>sh1</t>
  </si>
  <si>
    <t>sh2</t>
  </si>
  <si>
    <t>sh3</t>
  </si>
  <si>
    <t>${sh1}=1</t>
  </si>
  <si>
    <t>sh4</t>
  </si>
  <si>
    <t>sh5</t>
  </si>
  <si>
    <t>${sh8}=1 or ${sh8}=3</t>
  </si>
  <si>
    <t>${sh8}=2 or ${sh8}=3</t>
  </si>
  <si>
    <t>${sh14}=1</t>
  </si>
  <si>
    <t>${sh17}=1</t>
  </si>
  <si>
    <t>${sh18}=1</t>
  </si>
  <si>
    <t>${sh20}=1</t>
  </si>
  <si>
    <t>sh6</t>
  </si>
  <si>
    <t>sh7</t>
  </si>
  <si>
    <t>sh8</t>
  </si>
  <si>
    <t>sh9</t>
  </si>
  <si>
    <t>sh10</t>
  </si>
  <si>
    <t>sh11</t>
  </si>
  <si>
    <t>sh12</t>
  </si>
  <si>
    <t>sh13</t>
  </si>
  <si>
    <t>sh14</t>
  </si>
  <si>
    <t>sh15</t>
  </si>
  <si>
    <t>sh16</t>
  </si>
  <si>
    <t>sh17</t>
  </si>
  <si>
    <t>sh18</t>
  </si>
  <si>
    <t>sh19</t>
  </si>
  <si>
    <t>sh20</t>
  </si>
  <si>
    <t>sh22</t>
  </si>
  <si>
    <t xml:space="preserve">Турак үйгө киргизилген суу </t>
  </si>
  <si>
    <t>Короого киргизилген суу</t>
  </si>
  <si>
    <t xml:space="preserve">Коомдук кран </t>
  </si>
  <si>
    <t xml:space="preserve">Артезиандык скважина </t>
  </si>
  <si>
    <t xml:space="preserve">Жабык кудук </t>
  </si>
  <si>
    <t xml:space="preserve">Ачык кудук </t>
  </si>
  <si>
    <t xml:space="preserve">Жабык булак </t>
  </si>
  <si>
    <t xml:space="preserve">Жамгыр суусу </t>
  </si>
  <si>
    <t xml:space="preserve">Суу ташыгыч, цистерна </t>
  </si>
  <si>
    <t>Чакан бак/челек бар араба</t>
  </si>
  <si>
    <t xml:space="preserve">Жер үстүндөгү суу </t>
  </si>
  <si>
    <t xml:space="preserve">Бөтөлкөдөгү суу </t>
  </si>
  <si>
    <t xml:space="preserve">7 күн (бир жума) </t>
  </si>
  <si>
    <t xml:space="preserve">15 күн (эки жума) </t>
  </si>
  <si>
    <t xml:space="preserve">30 күн (бир ай) </t>
  </si>
  <si>
    <t xml:space="preserve">90 күн (квартал) </t>
  </si>
  <si>
    <t xml:space="preserve">180 күн (жарым жыл) </t>
  </si>
  <si>
    <t xml:space="preserve">365 күн (бир жыл) </t>
  </si>
  <si>
    <t xml:space="preserve">Кубур түтүк/борбордук газ </t>
  </si>
  <si>
    <t xml:space="preserve">Суюлтулган газ (баллондогу) </t>
  </si>
  <si>
    <t>Эки түрү тең</t>
  </si>
  <si>
    <t xml:space="preserve">Төрөлүү </t>
  </si>
  <si>
    <t xml:space="preserve">Үйлөнүү той </t>
  </si>
  <si>
    <t xml:space="preserve">Камакка алуу </t>
  </si>
  <si>
    <t xml:space="preserve">Жаракат алуу </t>
  </si>
  <si>
    <t xml:space="preserve">Оору </t>
  </si>
  <si>
    <t xml:space="preserve">Өлүм </t>
  </si>
  <si>
    <t>Конец секции ШОК</t>
  </si>
  <si>
    <t>БАКУБАТТУЛУК</t>
  </si>
  <si>
    <t>wb24</t>
  </si>
  <si>
    <t>wb25</t>
  </si>
  <si>
    <t>wb26</t>
  </si>
  <si>
    <t>wb27</t>
  </si>
  <si>
    <t>wb28</t>
  </si>
  <si>
    <t>wb29</t>
  </si>
  <si>
    <t>wb30</t>
  </si>
  <si>
    <t>wb31</t>
  </si>
  <si>
    <t>wb32</t>
  </si>
  <si>
    <t>wb33</t>
  </si>
  <si>
    <t>wb34</t>
  </si>
  <si>
    <t>${wb11}=1</t>
  </si>
  <si>
    <t>${wb21}=1</t>
  </si>
  <si>
    <t>wb1</t>
  </si>
  <si>
    <t>wb2</t>
  </si>
  <si>
    <t>wb3</t>
  </si>
  <si>
    <t>wb4</t>
  </si>
  <si>
    <t>wb5</t>
  </si>
  <si>
    <t>wb6</t>
  </si>
  <si>
    <t>wb7</t>
  </si>
  <si>
    <t>wb8</t>
  </si>
  <si>
    <t>wb9</t>
  </si>
  <si>
    <t>wb10</t>
  </si>
  <si>
    <t>wb11</t>
  </si>
  <si>
    <t>wb12</t>
  </si>
  <si>
    <t>wb13</t>
  </si>
  <si>
    <t>wb14</t>
  </si>
  <si>
    <t>wb15</t>
  </si>
  <si>
    <t>wb17</t>
  </si>
  <si>
    <t>wb18</t>
  </si>
  <si>
    <t>wb19</t>
  </si>
  <si>
    <t>wb20</t>
  </si>
  <si>
    <t>wb21</t>
  </si>
  <si>
    <t>wb22</t>
  </si>
  <si>
    <t>wb23</t>
  </si>
  <si>
    <t>Мурдагыдан кыйла начар</t>
  </si>
  <si>
    <t>Мурдагыдан начар</t>
  </si>
  <si>
    <t>Мурдагыдай эле</t>
  </si>
  <si>
    <t>Мурдагыдан жакшы</t>
  </si>
  <si>
    <t xml:space="preserve">Мурдагыдан кыйла жакшы </t>
  </si>
  <si>
    <t xml:space="preserve">Толук канааттанбайт </t>
  </si>
  <si>
    <t>Канааттанбайт</t>
  </si>
  <si>
    <t>Орточо</t>
  </si>
  <si>
    <t xml:space="preserve">Канааттанат </t>
  </si>
  <si>
    <t xml:space="preserve">Толук канааттанат </t>
  </si>
  <si>
    <t xml:space="preserve">Өтө жакшы </t>
  </si>
  <si>
    <t xml:space="preserve">Жакшы </t>
  </si>
  <si>
    <t xml:space="preserve">Начар </t>
  </si>
  <si>
    <t xml:space="preserve">Өтө начар </t>
  </si>
  <si>
    <t xml:space="preserve">Жумуш </t>
  </si>
  <si>
    <t xml:space="preserve">Баалар </t>
  </si>
  <si>
    <t xml:space="preserve">Теңдик </t>
  </si>
  <si>
    <t xml:space="preserve">Киреше </t>
  </si>
  <si>
    <t xml:space="preserve">Кызмат көрсөтүүлөр </t>
  </si>
  <si>
    <t xml:space="preserve">Башка </t>
  </si>
  <si>
    <t>The poorest 10%</t>
  </si>
  <si>
    <t>The richest 10%</t>
  </si>
  <si>
    <t>Самые бедные 10%</t>
  </si>
  <si>
    <t>Самые богатые 10%</t>
  </si>
  <si>
    <t>Эң жакыр 10%</t>
  </si>
  <si>
    <t>Бай 10%</t>
  </si>
  <si>
    <t>MИГРАЦИЯ</t>
  </si>
  <si>
    <t>Башка (көрсөтүңүз)</t>
  </si>
  <si>
    <t>${mg1} = 1</t>
  </si>
  <si>
    <t>${mg6}=1</t>
  </si>
  <si>
    <t>${mg10}=1</t>
  </si>
  <si>
    <t>${mg19}=1</t>
  </si>
  <si>
    <t>selected(current()/../mg21,'96')</t>
  </si>
  <si>
    <t>selected(current()/../mg23l,'96')</t>
  </si>
  <si>
    <t>${mg25}=1</t>
  </si>
  <si>
    <t>selected(current()/../mg26,'96')</t>
  </si>
  <si>
    <t>mg1</t>
  </si>
  <si>
    <t>mg3</t>
  </si>
  <si>
    <t>mg4</t>
  </si>
  <si>
    <t>mg5</t>
  </si>
  <si>
    <t>mg6</t>
  </si>
  <si>
    <t>mg8</t>
  </si>
  <si>
    <t>mg9</t>
  </si>
  <si>
    <t>mg10</t>
  </si>
  <si>
    <t>mg12</t>
  </si>
  <si>
    <t>mg13</t>
  </si>
  <si>
    <t>mg14</t>
  </si>
  <si>
    <t>mg15</t>
  </si>
  <si>
    <t>mg16</t>
  </si>
  <si>
    <t>mg17</t>
  </si>
  <si>
    <t>mg18</t>
  </si>
  <si>
    <t>mg19</t>
  </si>
  <si>
    <t>mg20</t>
  </si>
  <si>
    <t>mg21</t>
  </si>
  <si>
    <t>mg22</t>
  </si>
  <si>
    <t>mg23</t>
  </si>
  <si>
    <t>mg24</t>
  </si>
  <si>
    <t>mg25</t>
  </si>
  <si>
    <t>mg26</t>
  </si>
  <si>
    <t>mg27</t>
  </si>
  <si>
    <t>Билбейм</t>
  </si>
  <si>
    <t>Казакстан</t>
  </si>
  <si>
    <t>Түштүк Корея</t>
  </si>
  <si>
    <t>Түркия</t>
  </si>
  <si>
    <t>АКШ</t>
  </si>
  <si>
    <t>Бул жерден жумуш тапты</t>
  </si>
  <si>
    <t>Карыды</t>
  </si>
  <si>
    <t>Өргүү</t>
  </si>
  <si>
    <t>Барган өлкөдө иштөөгө уруксат (каттоо) ала алган жок</t>
  </si>
  <si>
    <t>Ден соолукка байланыштуу көйгөйлөр</t>
  </si>
  <si>
    <t>Иштөөгө уруксаттын (каттоонун) колдонуу мөөнөтү аяктады</t>
  </si>
  <si>
    <t>Жетиштүү акча иштеп тапты</t>
  </si>
  <si>
    <t>Окуу</t>
  </si>
  <si>
    <t>Депортацияланды</t>
  </si>
  <si>
    <t>Үй-бүлөлүк жагдай</t>
  </si>
  <si>
    <t>Сагынды</t>
  </si>
  <si>
    <t>Миграцияга даярданып жатам (документтерди күтүп жатам)</t>
  </si>
  <si>
    <t>Үйлөндү (үй-бүлө курууну чечти)</t>
  </si>
  <si>
    <t xml:space="preserve">Телефон аркылуу </t>
  </si>
  <si>
    <t xml:space="preserve">Текст жана видео-чаттар тиркеме (фейсбук/скайп/вотсап/вайбер/лине ж.б.) </t>
  </si>
  <si>
    <t xml:space="preserve">Телефон аркылуу смс </t>
  </si>
  <si>
    <t xml:space="preserve">Электрондук почта </t>
  </si>
  <si>
    <t xml:space="preserve">Почта аркылуу кат </t>
  </si>
  <si>
    <t xml:space="preserve">Сом </t>
  </si>
  <si>
    <t xml:space="preserve">Доллар </t>
  </si>
  <si>
    <t xml:space="preserve">Евро </t>
  </si>
  <si>
    <t xml:space="preserve">Рубли </t>
  </si>
  <si>
    <t xml:space="preserve">Тенге </t>
  </si>
  <si>
    <t xml:space="preserve">Башка (көрсөтүңүз) </t>
  </si>
  <si>
    <t xml:space="preserve">Foreign bank </t>
  </si>
  <si>
    <t xml:space="preserve">Kyrgyzstan based bank </t>
  </si>
  <si>
    <t xml:space="preserve">Brought by self </t>
  </si>
  <si>
    <t xml:space="preserve">Sent with others </t>
  </si>
  <si>
    <t xml:space="preserve">Unofficial havala system </t>
  </si>
  <si>
    <t xml:space="preserve">Official transfer service (moneylink, western union etc.) </t>
  </si>
  <si>
    <t xml:space="preserve">Иностранный банк </t>
  </si>
  <si>
    <t xml:space="preserve">Банк в Кыргызстане </t>
  </si>
  <si>
    <t xml:space="preserve">Лично привез </t>
  </si>
  <si>
    <t xml:space="preserve">Доставлено другими </t>
  </si>
  <si>
    <t xml:space="preserve">Неофициальная система </t>
  </si>
  <si>
    <t xml:space="preserve">Официальная служба переводов (money link, western union и др.) </t>
  </si>
  <si>
    <t xml:space="preserve">Чет өлкөлүк банк </t>
  </si>
  <si>
    <t xml:space="preserve">Кыргызстандагы банк </t>
  </si>
  <si>
    <t xml:space="preserve">Өзү алып келди </t>
  </si>
  <si>
    <t xml:space="preserve">Башкалар жеткирди </t>
  </si>
  <si>
    <t xml:space="preserve">Расмий эмес система </t>
  </si>
  <si>
    <t xml:space="preserve">Расмий которуу кызматы (money link, western union ж.б.) </t>
  </si>
  <si>
    <t>Тамак-аш</t>
  </si>
  <si>
    <t xml:space="preserve">Билим берүү </t>
  </si>
  <si>
    <t>Ден соолук</t>
  </si>
  <si>
    <t xml:space="preserve">Аманаттар </t>
  </si>
  <si>
    <t>Турак жайды жакшыртуу/сатып алуу</t>
  </si>
  <si>
    <t xml:space="preserve">Саякат/миграция </t>
  </si>
  <si>
    <t xml:space="preserve">Эс алуу </t>
  </si>
  <si>
    <t xml:space="preserve">Карыз төлөө </t>
  </si>
  <si>
    <t xml:space="preserve">Үйлөнүү үлпөтү </t>
  </si>
  <si>
    <t xml:space="preserve">Автоунаа сатып алуу </t>
  </si>
  <si>
    <t xml:space="preserve">Мал сатып алуу                        </t>
  </si>
  <si>
    <t xml:space="preserve">Покупка скота                      </t>
  </si>
  <si>
    <t>Buying cattle</t>
  </si>
  <si>
    <t>ЖУМУШТУУЛУК</t>
  </si>
  <si>
    <t>${ac1}=1</t>
  </si>
  <si>
    <t xml:space="preserve"> Which members are currently looking for a job?</t>
  </si>
  <si>
    <t>selected(current()/../ac3,'96')</t>
  </si>
  <si>
    <t>${ac5}=1</t>
  </si>
  <si>
    <t>${ac8}=1</t>
  </si>
  <si>
    <t>${ac10}=1</t>
  </si>
  <si>
    <t>${ac12}=1</t>
  </si>
  <si>
    <t>ac1</t>
  </si>
  <si>
    <t>ac3</t>
  </si>
  <si>
    <t>ac4</t>
  </si>
  <si>
    <t>ac5</t>
  </si>
  <si>
    <t>ac6</t>
  </si>
  <si>
    <t>ac7</t>
  </si>
  <si>
    <t>ac8</t>
  </si>
  <si>
    <t>ac10</t>
  </si>
  <si>
    <t>ac12</t>
  </si>
  <si>
    <t>ac14</t>
  </si>
  <si>
    <t xml:space="preserve">Мамлекеттик иш (область, район) </t>
  </si>
  <si>
    <t xml:space="preserve">Мам.бюджеттик уюмдар </t>
  </si>
  <si>
    <t xml:space="preserve">Жеке бизнес же фермердик чарба </t>
  </si>
  <si>
    <t xml:space="preserve">Толук эмес ставка </t>
  </si>
  <si>
    <t xml:space="preserve">Толук ставка </t>
  </si>
  <si>
    <t>Буудай</t>
  </si>
  <si>
    <t xml:space="preserve">Күрүч </t>
  </si>
  <si>
    <t xml:space="preserve">Картошка </t>
  </si>
  <si>
    <t>Жашылча өстүрүүчүлүк</t>
  </si>
  <si>
    <t>Багбанчылык</t>
  </si>
  <si>
    <t xml:space="preserve">Жүзүм </t>
  </si>
  <si>
    <t xml:space="preserve">Бакча өсүмдүктөрү </t>
  </si>
  <si>
    <t xml:space="preserve">Тоют өсүмдүктөрү </t>
  </si>
  <si>
    <t xml:space="preserve">Ооба, оң жагына чечилген </t>
  </si>
  <si>
    <t>Азырынча кароодо турат</t>
  </si>
  <si>
    <t xml:space="preserve">Жок, чечилген эмес </t>
  </si>
  <si>
    <t>КӨЗ-КАРАШТАР</t>
  </si>
  <si>
    <t>Азыр Сизге бир нече билдирүүнү айтам. Сураныч, Сиз макул, макул эмес же толук макул эмес экениңизди айтып коесузбу.</t>
  </si>
  <si>
    <t>vw1</t>
  </si>
  <si>
    <t>vw2</t>
  </si>
  <si>
    <t>vw3</t>
  </si>
  <si>
    <t>vw4</t>
  </si>
  <si>
    <t>vw5</t>
  </si>
  <si>
    <t>vw6</t>
  </si>
  <si>
    <t>vw7</t>
  </si>
  <si>
    <t>vw8</t>
  </si>
  <si>
    <t>vw9</t>
  </si>
  <si>
    <t>vw10</t>
  </si>
  <si>
    <t>vw11</t>
  </si>
  <si>
    <t>vw12</t>
  </si>
  <si>
    <t>vw13</t>
  </si>
  <si>
    <t>vw14</t>
  </si>
  <si>
    <t>vw15</t>
  </si>
  <si>
    <t>vw16</t>
  </si>
  <si>
    <t>vw17</t>
  </si>
  <si>
    <t>vw18</t>
  </si>
  <si>
    <t>vw19</t>
  </si>
  <si>
    <t>vw20</t>
  </si>
  <si>
    <t>vw21</t>
  </si>
  <si>
    <t>vw22</t>
  </si>
  <si>
    <t>vw23</t>
  </si>
  <si>
    <t>vw24</t>
  </si>
  <si>
    <t>vw25</t>
  </si>
  <si>
    <t>vw26</t>
  </si>
  <si>
    <t>vw27</t>
  </si>
  <si>
    <t>vw28</t>
  </si>
  <si>
    <t>vw29</t>
  </si>
  <si>
    <t>vw30</t>
  </si>
  <si>
    <t>vw31</t>
  </si>
  <si>
    <t>vw32</t>
  </si>
  <si>
    <t>vw33</t>
  </si>
  <si>
    <t>vw36</t>
  </si>
  <si>
    <t>vw37</t>
  </si>
  <si>
    <t>vw38</t>
  </si>
  <si>
    <t>vw39</t>
  </si>
  <si>
    <t>vw40</t>
  </si>
  <si>
    <t>vw41</t>
  </si>
  <si>
    <t>vw43</t>
  </si>
  <si>
    <t>vw44</t>
  </si>
  <si>
    <t>vw45</t>
  </si>
  <si>
    <t>vw46</t>
  </si>
  <si>
    <t>vw51</t>
  </si>
  <si>
    <t>Толук макулмун</t>
  </si>
  <si>
    <t>Макулмун</t>
  </si>
  <si>
    <t xml:space="preserve">Макул эмесмин </t>
  </si>
  <si>
    <t>Толук макул эмесмин</t>
  </si>
  <si>
    <t>Эң жакшы</t>
  </si>
  <si>
    <t>Жакшы</t>
  </si>
  <si>
    <t>Жаман</t>
  </si>
  <si>
    <t>Өтө жаман</t>
  </si>
  <si>
    <t>Өтө кымбат</t>
  </si>
  <si>
    <t>Нормалдуу</t>
  </si>
  <si>
    <t>Өтө арзан</t>
  </si>
  <si>
    <t>Шаарда турак жайларды көбүрөөк курууну</t>
  </si>
  <si>
    <t>Шаарда болжол менен ушунча турак жайларды курууну</t>
  </si>
  <si>
    <t>Шаарда турак жайларды азыраак курууну</t>
  </si>
  <si>
    <t>Ай сайын азыраак өлчөмдө электр энергиясы төмөнкү баада жеткиликтүү болгондой «куткаруу тегереги» тарифин киргизүү</t>
  </si>
  <si>
    <t>Кирешеси төмөн адамдарга олуттуу түз финансылык колдоо көрсөтүүнү камсыздоо</t>
  </si>
  <si>
    <t>Башка колдонуучулар үчүн тарифтерди төмөндөтүү үчүн, ишканаларга тарифтерди жогорулатуу</t>
  </si>
  <si>
    <t>Ай сайын азыраак өлчөмдө газ төмөнкү баада жеткиликтүү болгондой тарифти киргизүү</t>
  </si>
  <si>
    <t>Бардык колдонуучулар үчүн тарифтерди төмөндөтүү үчүн өлкө тарабынан субсидияларды берүү</t>
  </si>
  <si>
    <t>Турак жайды кыйла энергиялык майнаптуу кыла турган оңдоо жана жаңыртуу үчүн финансылык колдоо көрсөтүүнү камсыздоо (мисалы, жакшы изоляция жана жакшы терезе)</t>
  </si>
  <si>
    <t>Оң</t>
  </si>
  <si>
    <t>Терс</t>
  </si>
  <si>
    <t>Жумуш орундарын ээлейт</t>
  </si>
  <si>
    <t>Жаңы жумуш орундарын түзүүгө жардам берет</t>
  </si>
  <si>
    <t>No trust and confidence at all</t>
  </si>
  <si>
    <t>Complete trust and confidence</t>
  </si>
  <si>
    <t xml:space="preserve">Нет доверия и уверенности </t>
  </si>
  <si>
    <t>Полностью доверяю и уверен</t>
  </si>
  <si>
    <t>Таптакыр ишеним жок</t>
  </si>
  <si>
    <t xml:space="preserve">Толук ишенем       </t>
  </si>
  <si>
    <t>Most politicians in KGZ serve the interests of particular groups</t>
  </si>
  <si>
    <t>Most politicians in KGZ act with the general public’s best interests in mind</t>
  </si>
  <si>
    <t>Большинство политиков в Кыргызстане служат интересам определенных групп</t>
  </si>
  <si>
    <t xml:space="preserve"> Большинство политиков в Кыргызстане действуют в интересах общества</t>
  </si>
  <si>
    <t>Кыргызстандагы көбүнчө саясатчылар кандайдыр бир адамдардын кызыкчылыгына кам көрүшөт</t>
  </si>
  <si>
    <t xml:space="preserve"> Кыргызстандагы көбүнчө саясатчылар коом үчүн кам көрүшөт</t>
  </si>
  <si>
    <t>Most politicians are only concerned about the next election</t>
  </si>
  <si>
    <t>Most politicians are concerned about KGZ long‐term well‐being</t>
  </si>
  <si>
    <t>Большинство политиков озабочены только следующими выборами</t>
  </si>
  <si>
    <t>Большинство политиков озабочены долгосрочным благополучием в Кыргызстане</t>
  </si>
  <si>
    <t>Көбүнчө саясатчылар шайлоо менен гана алек жана</t>
  </si>
  <si>
    <t>Көбүнчө саясатчылар узак мөөнөттүү бакубаттулук менен алек</t>
  </si>
  <si>
    <t>The Government wastes the revenue it collects in taxes</t>
  </si>
  <si>
    <t>The Government conscientiously manages the revenue it collects in taxes</t>
  </si>
  <si>
    <t>Правительство тратит собираемые налоги впустую</t>
  </si>
  <si>
    <t>Правительство сознательно управляет доходами, которые оно собирает в виде налогов</t>
  </si>
  <si>
    <t>Өкмөт чогултулган салыктарды бекер коротуп жатат</t>
  </si>
  <si>
    <t>Өкмөт салыктан чогулган кирешени туура башкарат</t>
  </si>
  <si>
    <t>.&gt;=0 and .&lt;=100</t>
  </si>
  <si>
    <t>Very Poor</t>
  </si>
  <si>
    <t>Faster than expected</t>
  </si>
  <si>
    <t>At a typical pace</t>
  </si>
  <si>
    <t>Slower than expected</t>
  </si>
  <si>
    <t>Быстрее ожидаемого</t>
  </si>
  <si>
    <t>Обычный темп</t>
  </si>
  <si>
    <t>Медленнее ожидаемого</t>
  </si>
  <si>
    <t>Тезирээк</t>
  </si>
  <si>
    <t>Кадимкидей</t>
  </si>
  <si>
    <t>Жайыраак</t>
  </si>
  <si>
    <t xml:space="preserve">Rice (kg) </t>
  </si>
  <si>
    <t xml:space="preserve">Wheat flour (kg) </t>
  </si>
  <si>
    <t xml:space="preserve">Wheat groats (kg) </t>
  </si>
  <si>
    <t xml:space="preserve">Semolina (kg) </t>
  </si>
  <si>
    <t xml:space="preserve">Pearl barley (kg) </t>
  </si>
  <si>
    <t xml:space="preserve">Millet (kg) </t>
  </si>
  <si>
    <t xml:space="preserve">Bread from wheat flour (kg) </t>
  </si>
  <si>
    <t xml:space="preserve">National bread (kg) </t>
  </si>
  <si>
    <t xml:space="preserve">Cakes, cupcakes, gingerbread (kg) </t>
  </si>
  <si>
    <t xml:space="preserve">Macaronies and production from macaronies (kg) </t>
  </si>
  <si>
    <t xml:space="preserve">Dumplings (kg) </t>
  </si>
  <si>
    <t xml:space="preserve">Beef (kg) </t>
  </si>
  <si>
    <t xml:space="preserve">Pork (kg) </t>
  </si>
  <si>
    <t xml:space="preserve">Lamb (kg) </t>
  </si>
  <si>
    <t xml:space="preserve">Goat meat (kg) </t>
  </si>
  <si>
    <t xml:space="preserve">Chicken (kg) </t>
  </si>
  <si>
    <t xml:space="preserve">Canned meat (kg) </t>
  </si>
  <si>
    <t xml:space="preserve">Minced meat (kg) </t>
  </si>
  <si>
    <t xml:space="preserve">Sausage, sausage rolls (kg) </t>
  </si>
  <si>
    <t xml:space="preserve">Fish, salted fish, canned fish (kg) </t>
  </si>
  <si>
    <t xml:space="preserve">Fresh milk, unpasteurized (l) </t>
  </si>
  <si>
    <t xml:space="preserve">Dry milk (powder) and condensed milk with sugar, dry infant formula (kg) </t>
  </si>
  <si>
    <t xml:space="preserve">Yogurt, sour cream (kg) </t>
  </si>
  <si>
    <t xml:space="preserve">Kefir (l) </t>
  </si>
  <si>
    <t xml:space="preserve">Chakka, cheese, cottage cheese (kg) </t>
  </si>
  <si>
    <t xml:space="preserve">Eggs (count) </t>
  </si>
  <si>
    <t xml:space="preserve">Dairy butter (kg) </t>
  </si>
  <si>
    <t xml:space="preserve">Margarine (kg) </t>
  </si>
  <si>
    <t xml:space="preserve">Cottonseed and sunflower oil (kg) </t>
  </si>
  <si>
    <t xml:space="preserve">Mutton fat (kg) </t>
  </si>
  <si>
    <t xml:space="preserve">Apple (kg) </t>
  </si>
  <si>
    <t xml:space="preserve">Pear (kg) </t>
  </si>
  <si>
    <t xml:space="preserve">Peach (kg) </t>
  </si>
  <si>
    <t xml:space="preserve">Cherries (kg) </t>
  </si>
  <si>
    <t xml:space="preserve">Grape (kg) </t>
  </si>
  <si>
    <t xml:space="preserve">Lemons, tangerines/mandarins, oranges (kg) </t>
  </si>
  <si>
    <t xml:space="preserve">Bananas (kg) </t>
  </si>
  <si>
    <t xml:space="preserve">Water melon, melon (kg) </t>
  </si>
  <si>
    <t xml:space="preserve">Raisin, dried apricot (kg) </t>
  </si>
  <si>
    <t xml:space="preserve">Walnuts (shelled) (kg) </t>
  </si>
  <si>
    <t xml:space="preserve">Cabbage (kg) </t>
  </si>
  <si>
    <t xml:space="preserve">Onion (kg) </t>
  </si>
  <si>
    <t xml:space="preserve">Carrot (kg) </t>
  </si>
  <si>
    <t xml:space="preserve">Cucumbers (kg) </t>
  </si>
  <si>
    <t xml:space="preserve">Tomatoes (kg) </t>
  </si>
  <si>
    <t xml:space="preserve">Beet (kg) </t>
  </si>
  <si>
    <t xml:space="preserve">Garlic (kg) </t>
  </si>
  <si>
    <t xml:space="preserve">Pumpkin (kg) </t>
  </si>
  <si>
    <t xml:space="preserve">Green onions, dill, coriander, etc. (kg) </t>
  </si>
  <si>
    <t xml:space="preserve">Sweet bell peppers (kg) </t>
  </si>
  <si>
    <t xml:space="preserve">Eggplant (kg) </t>
  </si>
  <si>
    <t xml:space="preserve">Potato, potato chips (kg) </t>
  </si>
  <si>
    <t xml:space="preserve">Green pea, haricot, mung bean (kg) </t>
  </si>
  <si>
    <t xml:space="preserve">Pickled cucumbers in a jar (kg) </t>
  </si>
  <si>
    <t xml:space="preserve">Salted and marinated tomatoes (kg) </t>
  </si>
  <si>
    <t xml:space="preserve">Granulated sugar (kg) </t>
  </si>
  <si>
    <t xml:space="preserve">Jam (kg) </t>
  </si>
  <si>
    <t xml:space="preserve">Natural honey (kg) </t>
  </si>
  <si>
    <t xml:space="preserve">Chocolate bar, сhocolate candies, сaramel (kg) </t>
  </si>
  <si>
    <t xml:space="preserve">Ice cream (kg) </t>
  </si>
  <si>
    <t xml:space="preserve">Salt, black pepper, sauce (kg) </t>
  </si>
  <si>
    <t xml:space="preserve">Mayonnaise, ketchup in plastic packaging (kg) </t>
  </si>
  <si>
    <t xml:space="preserve">Soda for cooking, vinegar (kg) </t>
  </si>
  <si>
    <t xml:space="preserve">Dry yeast in packaging (kg) </t>
  </si>
  <si>
    <t xml:space="preserve">Meat extract in cubes (kg) </t>
  </si>
  <si>
    <t xml:space="preserve">Instant noodles (kg) </t>
  </si>
  <si>
    <t xml:space="preserve">Coffee (kg) </t>
  </si>
  <si>
    <t xml:space="preserve">Black and green tea (kg) </t>
  </si>
  <si>
    <t xml:space="preserve">Mineral water, liminad, apple juise (liter) </t>
  </si>
  <si>
    <t xml:space="preserve">Vodka (liter) </t>
  </si>
  <si>
    <t xml:space="preserve">Champagne (liter) </t>
  </si>
  <si>
    <t xml:space="preserve">Beer (liter) </t>
  </si>
  <si>
    <t xml:space="preserve">Alcoholic drinks consumed outside home (liter) </t>
  </si>
  <si>
    <t xml:space="preserve">Рис (кг) </t>
  </si>
  <si>
    <t xml:space="preserve">Пшеничная мука (кг) </t>
  </si>
  <si>
    <t xml:space="preserve">Крупы пшеничные (кг) </t>
  </si>
  <si>
    <t xml:space="preserve">Манная крупа (кг) </t>
  </si>
  <si>
    <t xml:space="preserve">Перловка (кг) </t>
  </si>
  <si>
    <t xml:space="preserve">Пшено (кг) </t>
  </si>
  <si>
    <t xml:space="preserve">Хлеб из пшеничной муки (кг) </t>
  </si>
  <si>
    <t xml:space="preserve">Национальный хлеб (кг) </t>
  </si>
  <si>
    <t xml:space="preserve">Торты, кексы (кг) </t>
  </si>
  <si>
    <t xml:space="preserve">Макароны и продукция из макарон (кг) </t>
  </si>
  <si>
    <t xml:space="preserve">Пельмени (кг) </t>
  </si>
  <si>
    <t xml:space="preserve">Мясо говядина (кг) </t>
  </si>
  <si>
    <t xml:space="preserve">Свиное мясо (кг) </t>
  </si>
  <si>
    <t xml:space="preserve">Мясо баранина (кг) </t>
  </si>
  <si>
    <t xml:space="preserve">Козье мясо (кг) </t>
  </si>
  <si>
    <t xml:space="preserve">Куриное мясо (кг) </t>
  </si>
  <si>
    <t xml:space="preserve">Мясные консервы (кг) </t>
  </si>
  <si>
    <t xml:space="preserve">Фарш (кг) </t>
  </si>
  <si>
    <t xml:space="preserve">Сосисочные изделия (казы) (кг) </t>
  </si>
  <si>
    <t xml:space="preserve">Рыба, соленая рыба (кг) </t>
  </si>
  <si>
    <t xml:space="preserve">Свежее молоко, непастеризованное (л) </t>
  </si>
  <si>
    <t xml:space="preserve">Сухое молоко (порошок) и сгущенное молоко с сахаром, сухая детская смесь (кг) </t>
  </si>
  <si>
    <t xml:space="preserve">Йогурт, сметана (кг) </t>
  </si>
  <si>
    <t xml:space="preserve">Кефир (л) </t>
  </si>
  <si>
    <t xml:space="preserve">Чакка, сыр, творог (кг) </t>
  </si>
  <si>
    <t xml:space="preserve">Яйца (шт.) </t>
  </si>
  <si>
    <t xml:space="preserve">Сливочное масло (кг) </t>
  </si>
  <si>
    <t xml:space="preserve">Маргарин (кг) </t>
  </si>
  <si>
    <t xml:space="preserve">Хлопковое масло и подсолнечное масло (л) </t>
  </si>
  <si>
    <t xml:space="preserve">Бараний жир (курдюк) (кг) </t>
  </si>
  <si>
    <t xml:space="preserve">Яблоко (кг) </t>
  </si>
  <si>
    <t xml:space="preserve">Груша (кг) </t>
  </si>
  <si>
    <t xml:space="preserve">Персик (кг) </t>
  </si>
  <si>
    <t xml:space="preserve">Черешня (кг) </t>
  </si>
  <si>
    <t xml:space="preserve">Виноград (кг) </t>
  </si>
  <si>
    <t xml:space="preserve">Лимоны, мандарины, апельсины (кг) </t>
  </si>
  <si>
    <t xml:space="preserve">Банан (кг) </t>
  </si>
  <si>
    <t xml:space="preserve">Арбуз, дыня (кг) </t>
  </si>
  <si>
    <t xml:space="preserve">Изюм, сушеный абрикос (кг) </t>
  </si>
  <si>
    <t xml:space="preserve">Грецкие орехи (в скорлупе) (кг) </t>
  </si>
  <si>
    <t xml:space="preserve">Капуста (кг) </t>
  </si>
  <si>
    <t xml:space="preserve">Лук (кг) </t>
  </si>
  <si>
    <t xml:space="preserve">Морковь (кг) </t>
  </si>
  <si>
    <t xml:space="preserve">Огурцы (кг) </t>
  </si>
  <si>
    <t xml:space="preserve">Помидоры (кг) </t>
  </si>
  <si>
    <t xml:space="preserve">Свекла (кг) </t>
  </si>
  <si>
    <t xml:space="preserve">Чеснок (кг) </t>
  </si>
  <si>
    <t xml:space="preserve">Тыква (кг) </t>
  </si>
  <si>
    <t xml:space="preserve">Зеленый лук, укроп, кориандр (кашнич) и т.д. (кг) </t>
  </si>
  <si>
    <t xml:space="preserve">Сладкий болгарский перец (кг) </t>
  </si>
  <si>
    <t xml:space="preserve">Баклажан (кг) </t>
  </si>
  <si>
    <t xml:space="preserve">Картофель, картофельные чипсы (кг) </t>
  </si>
  <si>
    <t xml:space="preserve">Горох, фасоль, маш (кг) </t>
  </si>
  <si>
    <t xml:space="preserve">Маринованные огурцы в банке (кг) </t>
  </si>
  <si>
    <t xml:space="preserve">Соленые и маринованные помидоры (кг) </t>
  </si>
  <si>
    <t xml:space="preserve">Гранулированый сахар (кг) </t>
  </si>
  <si>
    <t xml:space="preserve">Варенье (л) </t>
  </si>
  <si>
    <t xml:space="preserve">Природный мед (кг) </t>
  </si>
  <si>
    <t xml:space="preserve">Шоколад, шоколадные конфеты, карамель (кг) </t>
  </si>
  <si>
    <t xml:space="preserve">Мороженое (кг) </t>
  </si>
  <si>
    <t xml:space="preserve">Соль, черный перец, соус (кг) </t>
  </si>
  <si>
    <t xml:space="preserve">Майонез, кетчуп в пластиковой упаковке (кг) </t>
  </si>
  <si>
    <t xml:space="preserve">Сода для приготовления пищи, уксус (кг) </t>
  </si>
  <si>
    <t xml:space="preserve">Сухие дрожжи в упаковке (кг) </t>
  </si>
  <si>
    <t xml:space="preserve">Мясной экстракт в кубиках (кг) </t>
  </si>
  <si>
    <t xml:space="preserve">Лапша быстрого приготовления (кг) </t>
  </si>
  <si>
    <t xml:space="preserve">Кофе (кг) </t>
  </si>
  <si>
    <t xml:space="preserve">Черный и зеленый чай (кг) </t>
  </si>
  <si>
    <t xml:space="preserve">Минеральная вода, лимонад, яблочный сок (литр) </t>
  </si>
  <si>
    <t xml:space="preserve">Водка (литр) </t>
  </si>
  <si>
    <t xml:space="preserve">Вино (литр) </t>
  </si>
  <si>
    <t xml:space="preserve">Шампанское (литр) </t>
  </si>
  <si>
    <t xml:space="preserve">Пиво (литр) </t>
  </si>
  <si>
    <t xml:space="preserve">Алкогольные напитки потребленные вне дома (литр) </t>
  </si>
  <si>
    <t xml:space="preserve">Күрүч (кг) </t>
  </si>
  <si>
    <t xml:space="preserve">Буудай уну (кг) </t>
  </si>
  <si>
    <t xml:space="preserve">Буудай акшагы (кг) </t>
  </si>
  <si>
    <t xml:space="preserve">Акшак (кг) </t>
  </si>
  <si>
    <t xml:space="preserve">Таруу (кг) </t>
  </si>
  <si>
    <t xml:space="preserve">Буудай унунан нан (кг) </t>
  </si>
  <si>
    <t xml:space="preserve">Улуттук нан (кг) </t>
  </si>
  <si>
    <t xml:space="preserve">Торттор, кекс (кг) </t>
  </si>
  <si>
    <t xml:space="preserve">Макарон жана макарондон өнүмдөр (кг) </t>
  </si>
  <si>
    <t xml:space="preserve">Чүчбаралар (кг) </t>
  </si>
  <si>
    <t xml:space="preserve">Уйдун эти (кг) </t>
  </si>
  <si>
    <t xml:space="preserve">Чочконун эти (кг) </t>
  </si>
  <si>
    <t xml:space="preserve">Койдун эти (кг) </t>
  </si>
  <si>
    <t xml:space="preserve">Эчкинин эти (кг) </t>
  </si>
  <si>
    <t xml:space="preserve">Тооктун эти (кг) </t>
  </si>
  <si>
    <t xml:space="preserve">Эт консервалары (кг) </t>
  </si>
  <si>
    <t xml:space="preserve">Сосиска азыгы (казы) (кг) </t>
  </si>
  <si>
    <t xml:space="preserve">Балык, туздалган балык (кг) </t>
  </si>
  <si>
    <t xml:space="preserve">Кургак сүт (күлмайда) жана кант менен коюлтулган сүт, кургак балдар аралашмасы (кг) </t>
  </si>
  <si>
    <t xml:space="preserve">Йогурт, каймак (кг) </t>
  </si>
  <si>
    <t xml:space="preserve">Чакка, сүрбыштак, быштак (кг) </t>
  </si>
  <si>
    <t xml:space="preserve">Жумуштка (даана) </t>
  </si>
  <si>
    <t xml:space="preserve">Каймак майы (кг) </t>
  </si>
  <si>
    <t xml:space="preserve">Пахта майы жана күн карама майы (л) </t>
  </si>
  <si>
    <t xml:space="preserve">Койдун тоң майы (куйрук) (кг) </t>
  </si>
  <si>
    <t xml:space="preserve">Алма (кг) </t>
  </si>
  <si>
    <t xml:space="preserve">Алмурут (кг) </t>
  </si>
  <si>
    <t xml:space="preserve">Шабдалы (кг) </t>
  </si>
  <si>
    <t xml:space="preserve">Алча (кг) </t>
  </si>
  <si>
    <t xml:space="preserve">Жүзүм(кг) </t>
  </si>
  <si>
    <t xml:space="preserve">Лимон, мандарин, апельсин (кг) </t>
  </si>
  <si>
    <t xml:space="preserve">Дарбыз, коон (кг) </t>
  </si>
  <si>
    <t xml:space="preserve">Мейиз, кургатылган өрүк (кг) </t>
  </si>
  <si>
    <t xml:space="preserve">Грек жаңгактары (кабыгы менен) (кг) </t>
  </si>
  <si>
    <t xml:space="preserve">Пияз (кг) </t>
  </si>
  <si>
    <t xml:space="preserve">Сабиз (кг) </t>
  </si>
  <si>
    <t xml:space="preserve">Бадыраң (кг) </t>
  </si>
  <si>
    <t xml:space="preserve">Помидор (кг) </t>
  </si>
  <si>
    <t xml:space="preserve">Кызылча (кг) </t>
  </si>
  <si>
    <t xml:space="preserve">Сарымсак (кг) </t>
  </si>
  <si>
    <t xml:space="preserve">Ашкабак (кг) </t>
  </si>
  <si>
    <t xml:space="preserve">Көк пия, ашкөк, кориандр (кашнич) ж.б. (кг) </t>
  </si>
  <si>
    <t xml:space="preserve">Таттуу болгар калемпири (кг) </t>
  </si>
  <si>
    <t xml:space="preserve">Картошка, картошка чипсылары(кг) </t>
  </si>
  <si>
    <t xml:space="preserve">Буурчак, төө буурчак, маш (кг) </t>
  </si>
  <si>
    <t xml:space="preserve">Банкадагы маринаддалган бадыраң (кг) </t>
  </si>
  <si>
    <t xml:space="preserve">Туздалган жана маринаддалган бадыраң (кг) </t>
  </si>
  <si>
    <t xml:space="preserve">Гранулданган кант (кг) </t>
  </si>
  <si>
    <t xml:space="preserve">Кыям (л) </t>
  </si>
  <si>
    <t xml:space="preserve">Табигый бал (кг) </t>
  </si>
  <si>
    <t xml:space="preserve">Шоколад, шоколад конфеттери, карамель (кг) </t>
  </si>
  <si>
    <t xml:space="preserve">Балмуздак (кг) </t>
  </si>
  <si>
    <t xml:space="preserve">Туз, кара мурч, соус (кг) </t>
  </si>
  <si>
    <t xml:space="preserve">Пластик таңгактагы майонез, кетчуп (кг) </t>
  </si>
  <si>
    <t xml:space="preserve">Тамак даярдоо үчүн сода, уксус (кг) </t>
  </si>
  <si>
    <t xml:space="preserve">Таңгактагы кургак ачыткы (кг) </t>
  </si>
  <si>
    <t xml:space="preserve">Кубиктеги эт маңыздары (кг) </t>
  </si>
  <si>
    <t xml:space="preserve">Тез даяр болуучу кесме (кг) </t>
  </si>
  <si>
    <t xml:space="preserve">Кара жана көк чай (кг) </t>
  </si>
  <si>
    <t xml:space="preserve">Минералдык суу, лимонад, алма ширеси (литр) </t>
  </si>
  <si>
    <t xml:space="preserve">Арак (литр) </t>
  </si>
  <si>
    <t xml:space="preserve">Шарап (литр) </t>
  </si>
  <si>
    <t xml:space="preserve">Шампан (литр) </t>
  </si>
  <si>
    <t xml:space="preserve">Сыра (литр) </t>
  </si>
  <si>
    <t xml:space="preserve">Үйдөн сырткары ичилген алкоголдук ичимдиктер (литр) </t>
  </si>
  <si>
    <t>КИРЕШЕЛЕР</t>
  </si>
  <si>
    <t>ДОХОДЫ</t>
  </si>
  <si>
    <t>INCOMES</t>
  </si>
  <si>
    <t>4  Сиздин үй чарбаңыз кандай жөлөк пулдарды алат (3төн көп эмес жоопту тандоо)?</t>
  </si>
  <si>
    <t>Бала төрөлгөнүнө жөлөк пул</t>
  </si>
  <si>
    <t>Аз камсыз болгон үй-бүлөлөргө ар айлык жөлөк пул</t>
  </si>
  <si>
    <t>Майыптуулугу, карылыгы боюнча, багуучуну жоготкону боюнча жөлөк пул (ар айлык социалдык жөлөк пул)</t>
  </si>
  <si>
    <t>Мектепте тамактануу</t>
  </si>
  <si>
    <t>Акысыз дары-дармек берүү</t>
  </si>
  <si>
    <t>Акысыз тамактануу</t>
  </si>
  <si>
    <t>Өзгөчө топтор үчүн коммуналдык чыгымдарга субсидиялар жана энергияга бааны жогорулатууга акчалай компенсация</t>
  </si>
  <si>
    <t>Майыптуулук боюнча пенсия</t>
  </si>
  <si>
    <t>Багуучуну жоготуу боюнча пенсия</t>
  </si>
  <si>
    <t>Коомдук иштер</t>
  </si>
  <si>
    <t>Жумушсуздарды кесиптик окутуу</t>
  </si>
  <si>
    <t>Жумушсуздук боюнча жөлөк пул</t>
  </si>
  <si>
    <t>Башка артыкчылыктар</t>
  </si>
  <si>
    <t xml:space="preserve">Child birth grant </t>
  </si>
  <si>
    <t xml:space="preserve">Monthly allowance for poor families UBK </t>
  </si>
  <si>
    <t xml:space="preserve">Disability, old age, bread winner loss allowances (monthly social benefit) </t>
  </si>
  <si>
    <t>School feeding</t>
  </si>
  <si>
    <t>Communal expenses subsidies for special groups and monetary compensation for energy price increases</t>
  </si>
  <si>
    <t>Old age pension</t>
  </si>
  <si>
    <t>Bread winner loss pension</t>
  </si>
  <si>
    <t>Professional training for the unemployed</t>
  </si>
  <si>
    <t>Other benefits</t>
  </si>
  <si>
    <t>Пособие на рождение ребенка</t>
  </si>
  <si>
    <t>Ежемесячное пособие малообеспеченным семьям</t>
  </si>
  <si>
    <t>Пособие по инвалидности, старости, по случаю потери кормильца (ежемесячное социальное пособие)</t>
  </si>
  <si>
    <t>Школьное питание</t>
  </si>
  <si>
    <t>Бесплатное предоставление лекарств</t>
  </si>
  <si>
    <t>Бесплатное питание</t>
  </si>
  <si>
    <t>Субсидии на коммунальные расходы для особых групп и денежная компенсация повышения цен на энергию</t>
  </si>
  <si>
    <t>Пенсия по случаю потери кормильца</t>
  </si>
  <si>
    <t>Общественные работы</t>
  </si>
  <si>
    <t>Профессиональное обучение безработных</t>
  </si>
  <si>
    <t>Другие преимущества</t>
  </si>
  <si>
    <t>inc1</t>
  </si>
  <si>
    <t>inc2</t>
  </si>
  <si>
    <t>inc3</t>
  </si>
  <si>
    <t>inc5</t>
  </si>
  <si>
    <t>inc6</t>
  </si>
  <si>
    <t>inc7</t>
  </si>
  <si>
    <t>inc8</t>
  </si>
  <si>
    <t>inc9</t>
  </si>
  <si>
    <t>inc10</t>
  </si>
  <si>
    <t>inc11</t>
  </si>
  <si>
    <t>inc12</t>
  </si>
  <si>
    <t>inc13</t>
  </si>
  <si>
    <t>АМАНАТТАР</t>
  </si>
  <si>
    <t>${inc1}=1</t>
  </si>
  <si>
    <t>${inc3}=1</t>
  </si>
  <si>
    <t>${inc6}=1</t>
  </si>
  <si>
    <t>${inc8}=1</t>
  </si>
  <si>
    <t>${inc10}=1</t>
  </si>
  <si>
    <t>${inc12}=1</t>
  </si>
  <si>
    <t>sv1</t>
  </si>
  <si>
    <t>sv2</t>
  </si>
  <si>
    <t>sv3</t>
  </si>
  <si>
    <t>sv4</t>
  </si>
  <si>
    <t>sv5</t>
  </si>
  <si>
    <t>sv6</t>
  </si>
  <si>
    <t>sv7</t>
  </si>
  <si>
    <t xml:space="preserve">Банкта аманат эсебинде </t>
  </si>
  <si>
    <t xml:space="preserve">Депозит </t>
  </si>
  <si>
    <t>Микрофинансы мекемесиндеги аманат эсеби</t>
  </si>
  <si>
    <t>Микрофинансы мекемелериндеги убактылуу депозит</t>
  </si>
  <si>
    <t xml:space="preserve">Үйдө накталай түрдө </t>
  </si>
  <si>
    <t xml:space="preserve">Кара касса </t>
  </si>
  <si>
    <t xml:space="preserve">Инвестициялар (баалуу кагаздар) </t>
  </si>
  <si>
    <t>ELECTION</t>
  </si>
  <si>
    <t>ВЫБОРЫ</t>
  </si>
  <si>
    <t>ШАЙЛОО</t>
  </si>
  <si>
    <t>el1</t>
  </si>
  <si>
    <t>el3</t>
  </si>
  <si>
    <t>el4</t>
  </si>
  <si>
    <t>el5</t>
  </si>
  <si>
    <t>Not trusted at all</t>
  </si>
  <si>
    <t>Completely trusted</t>
  </si>
  <si>
    <t xml:space="preserve">Нет доверия вообще </t>
  </si>
  <si>
    <t xml:space="preserve">Полностью есть доверие </t>
  </si>
  <si>
    <t xml:space="preserve">Толук ишеним бар       </t>
  </si>
  <si>
    <t>Конец секции ВЫБОРЫ</t>
  </si>
  <si>
    <t>This is the end of ELECTION.</t>
  </si>
  <si>
    <t>${sv2}=1</t>
  </si>
  <si>
    <t>${sv4}=96</t>
  </si>
  <si>
    <t>${sv5}=1</t>
  </si>
  <si>
    <t>${el1}=1</t>
  </si>
  <si>
    <t>${el1}=2</t>
  </si>
  <si>
    <t>Kyrgyz (kg)</t>
  </si>
  <si>
    <t>kc.humanitarianresponse.info:L2KG_CATI_2021</t>
  </si>
  <si>
    <t>cv2</t>
  </si>
  <si>
    <t>cv3</t>
  </si>
  <si>
    <t>cv13</t>
  </si>
  <si>
    <t>cv15</t>
  </si>
  <si>
    <t>cv16</t>
  </si>
  <si>
    <t>cv17</t>
  </si>
  <si>
    <t>cv18</t>
  </si>
  <si>
    <t>cv20</t>
  </si>
  <si>
    <t>cv21</t>
  </si>
  <si>
    <t>cv23</t>
  </si>
  <si>
    <t>Гезит (басма же онлайн)</t>
  </si>
  <si>
    <t>Социалдык медиа</t>
  </si>
  <si>
    <t>СМС аркылуу</t>
  </si>
  <si>
    <t>Жеке (саламаттык сактоо органы)</t>
  </si>
  <si>
    <t>Жеке (башка)</t>
  </si>
  <si>
    <t>Башка (тактаңыз)</t>
  </si>
  <si>
    <t>Айткым келбейт</t>
  </si>
  <si>
    <t>Абдан тынчсызданам</t>
  </si>
  <si>
    <t>Бир аз тынчсызданам</t>
  </si>
  <si>
    <t>Негизинен тынсызданбайм</t>
  </si>
  <si>
    <t>Таптакыр тынчсызданбайм</t>
  </si>
  <si>
    <t>Колумду көбүрөөк жууйм</t>
  </si>
  <si>
    <t>Азыраак кол алышам/өбүшүп амандашам</t>
  </si>
  <si>
    <t>Азыраак сапарга чыгам же чыкпайм</t>
  </si>
  <si>
    <t>Досторго/тааныштарга/туугандарга азыраак барам</t>
  </si>
  <si>
    <t>Үйдөн тышкары азыраак иштейм же иштебейм</t>
  </si>
  <si>
    <t>Бет кап тагынам</t>
  </si>
  <si>
    <t>Социалдык аралык/адамдардан алыс турам</t>
  </si>
  <si>
    <t>Олуттуу азайды</t>
  </si>
  <si>
    <t>Орточо азайды</t>
  </si>
  <si>
    <t>Орточо көбөйдү</t>
  </si>
  <si>
    <t>Олуттуу көбөйдү</t>
  </si>
  <si>
    <t>КРдагы башка адамдардын которуулары</t>
  </si>
  <si>
    <t>КР чегинен тышкары башка адамдардын которуулары</t>
  </si>
  <si>
    <t>Социалдык жөлөк пул</t>
  </si>
  <si>
    <t>Аманат</t>
  </si>
  <si>
    <t>Карыз алуу</t>
  </si>
  <si>
    <t>Коңшулардын, жергиликтүү коомдоштуктун жардамы</t>
  </si>
  <si>
    <t>Жумушсуздук боюнча камсыздандыруу (өкмөт)</t>
  </si>
  <si>
    <t xml:space="preserve">Мыкты </t>
  </si>
  <si>
    <t xml:space="preserve">Абдан жакшы </t>
  </si>
  <si>
    <t xml:space="preserve">Канааттандыраарлык </t>
  </si>
  <si>
    <t>Жооп берүүдөн баш тартам</t>
  </si>
  <si>
    <t>Дайыма</t>
  </si>
  <si>
    <t>Өтө тезден</t>
  </si>
  <si>
    <t xml:space="preserve">Тезден </t>
  </si>
  <si>
    <t xml:space="preserve">Көп эмес </t>
  </si>
  <si>
    <t>Сейрек</t>
  </si>
  <si>
    <t xml:space="preserve">Жооп берүүдөн баш тартам </t>
  </si>
  <si>
    <t>Зеригүү</t>
  </si>
  <si>
    <t xml:space="preserve">Коронавирус жөнүндө тынчсыздануу </t>
  </si>
  <si>
    <t xml:space="preserve">Интернетке байланыштуу кыйынчылыктар </t>
  </si>
  <si>
    <t xml:space="preserve">Интернетке өтө көп убакыт коротуу </t>
  </si>
  <si>
    <t>Экономикалык кыйынчылыктар</t>
  </si>
  <si>
    <t>Үй-бүлөдөн жана/же достордон алыс болуу</t>
  </si>
  <si>
    <t xml:space="preserve">Жогоруда саналгандардын баары </t>
  </si>
  <si>
    <t xml:space="preserve">Бири дагы эмес </t>
  </si>
  <si>
    <t>Өтө күмөн</t>
  </si>
  <si>
    <t>Абдан ыктымал</t>
  </si>
  <si>
    <t>Сөзсүз эмдөөдөн өтмөкмүн</t>
  </si>
  <si>
    <t>Эмдөөдөн өтмөк болушум керек</t>
  </si>
  <si>
    <t>Эмдөөдөн өтпөйт болчумун</t>
  </si>
  <si>
    <t>Сөзсүз эмдөөдөн өтпөйт болчумун</t>
  </si>
  <si>
    <t>Эмдөөдөн өттүм</t>
  </si>
  <si>
    <t>Мурда вакцина алуунун терс тажрыйбасы</t>
  </si>
  <si>
    <t>Саламаттык сактоо системасына же медициналык кызмат көрсөтүүлөрдү жеткирүүчүгө ишенбестик</t>
  </si>
  <si>
    <t>Эмдөөнүн пайдасынан, тобокелдиги жогору</t>
  </si>
  <si>
    <t>Вакцина өндүрүүчүлөргө ишенбестик</t>
  </si>
  <si>
    <t>Медициналык каршы көрсөтмөлөр</t>
  </si>
  <si>
    <t>Sputnik V (Россия)</t>
  </si>
  <si>
    <t>Sinopharm (Кытай)</t>
  </si>
  <si>
    <t>AstraZeneca, янги номи Vaxzevria (Британия-Швеция)</t>
  </si>
  <si>
    <t>Moderna (АКШ)</t>
  </si>
  <si>
    <t>Pfizer (АКШ)</t>
  </si>
  <si>
    <t>Бардык жеткиликтүү</t>
  </si>
  <si>
    <t>Башкалар</t>
  </si>
  <si>
    <t>Өтө оор</t>
  </si>
  <si>
    <t>Оор</t>
  </si>
  <si>
    <t>Бир аз оор</t>
  </si>
  <si>
    <t>Оңой</t>
  </si>
  <si>
    <t>Өтө оңой</t>
  </si>
  <si>
    <t>Do nothing</t>
  </si>
  <si>
    <t>Provide some financial assistance to workers who lose their jobs</t>
  </si>
  <si>
    <t>Restrict imports of garments from overseas, by placing import tariffs on such imports for example</t>
  </si>
  <si>
    <t>Ничего не делать</t>
  </si>
  <si>
    <t>Оказывать финансовую помощь работникам, потерявшим работу</t>
  </si>
  <si>
    <t>Ограничить импорт одежды из-за рубежа, например, установив таможенные пошлины на такой импорт</t>
  </si>
  <si>
    <t>Эч нерсе кылбоо</t>
  </si>
  <si>
    <t>Жумушун жоготкон кызматкерлерге финансылык жардам көрсөтүү</t>
  </si>
  <si>
    <t>Чет өлкөдөн кийимдин импортун чектөө, мисалы, мындай импортко бажы алымын киргизүү менен</t>
  </si>
  <si>
    <t>Provide some additional financial assistance to poor families</t>
  </si>
  <si>
    <t>Restrict exports of wheat and bread</t>
  </si>
  <si>
    <t>Directly provide bread and wheat</t>
  </si>
  <si>
    <t>Предоставить некоторую дополнительную финансовую помощь бедным семьям</t>
  </si>
  <si>
    <t>Ограничить экспорт пшеницы и хлеба</t>
  </si>
  <si>
    <t>Непосредственно предоставить хлеб и пшеницу</t>
  </si>
  <si>
    <t>Жакыр үй-бүлөлөргө айрым кошумча финансылык жардам көрсөтүү</t>
  </si>
  <si>
    <t>Буудайды жана нанды экспорттоону чектөө</t>
  </si>
  <si>
    <t>Түздөн-түз нан жана буудай берүү</t>
  </si>
  <si>
    <t>Keep tariffs where they were</t>
  </si>
  <si>
    <t>Keep the price low for a small amount of electricity for everyone, while letting the price rise more for people who use more electricity</t>
  </si>
  <si>
    <t>Provide subsidies for electricity producer</t>
  </si>
  <si>
    <t>Предоставить субсидии для производителя электроэнергии</t>
  </si>
  <si>
    <t>Держать низкую цену на небольшое количество электроэнергии для всех, позволяя ценам расти больше для людей, которые потребляют больше электроэнергии</t>
  </si>
  <si>
    <t>Предоставлять субсидии производителю электроэнергии</t>
  </si>
  <si>
    <t>Электр энергиясын өндүрүүчүлөргө субсидияларды берүү</t>
  </si>
  <si>
    <t>Add new restrictions to discourage this migration</t>
  </si>
  <si>
    <t>Encourage this migration</t>
  </si>
  <si>
    <t>Добавить новые ограничения, чтобы препятствовать этой миграции</t>
  </si>
  <si>
    <t>Уменьшить оставшиеся ограничения и поощрить эту миграцию</t>
  </si>
  <si>
    <t>Бул миграцияга тоскоолдук кылуу үчүн жаңы чектөөлөрдү кошуу</t>
  </si>
  <si>
    <t>Калган чектөөлөрдү азайтуу жана бул миграцияны колдоо</t>
  </si>
  <si>
    <t>Интернетке зарылчылык жок (пайдасыз, кызыксыз)</t>
  </si>
  <si>
    <t>Башка жерде Ирнетнетке кирүү мүмкүндүгү бар</t>
  </si>
  <si>
    <t>Интернетке кошуу үчүн зарыл түзүлүштүн наркы өтө кымбат.</t>
  </si>
  <si>
    <t>Интернетти пайдалануу наркы (Интернет-кызмат көрсөтүүгө төлөө) өтө кымбат.</t>
  </si>
  <si>
    <t>Калктуу райондо интернет-сервистерге жетүү мүмкүндүгү жок</t>
  </si>
  <si>
    <t>Маданий себептер (мисалы, баракчалардагы терс маалыматтын таасири ж.б.)</t>
  </si>
  <si>
    <t>Купуялуулукту жана коопсуздукту сактоо максатында</t>
  </si>
  <si>
    <t>Интернетке ишенбестик, Интернетти пайдалануу үчүн билимдин же көндүмдөрдүн жоктугу</t>
  </si>
  <si>
    <t>Райондо интернет-сервистер бар, бирок алар талапка жооп бербейт (мисалы, сапаты, ылдамдыгы боюнча).</t>
  </si>
  <si>
    <t>Үйдө байланыштын үзгүлтүк болушу</t>
  </si>
  <si>
    <t>Үйдө электрдин үзгүлтүк болушу</t>
  </si>
  <si>
    <t>Башка, көрсөтүңүз</t>
  </si>
  <si>
    <t>Мобилдик тармак аркылуу мобилдик телефон же смартфон</t>
  </si>
  <si>
    <t>Зымсыз тармак (WiFi ж.б.) аркылуу мобилдиктелефон жеи смартфон</t>
  </si>
  <si>
    <t>Мобилдик тармак аркылуу ноутбук / нетбук</t>
  </si>
  <si>
    <t>Зымсыз тармак (WiFi ж.б.) аркылуу ноутбук / нетбук</t>
  </si>
  <si>
    <t>Мобилдик тармак аркылуу планшеттик ПК</t>
  </si>
  <si>
    <t>Зымсыз тармак (WiFi ж.б.) аркылуу планшеттик компьютер</t>
  </si>
  <si>
    <t>Башка түзүлүштөр</t>
  </si>
  <si>
    <t>Электрондук кат жөнөтүү / алуу</t>
  </si>
  <si>
    <t>Социалдык тармактардын сайттарына кирүү</t>
  </si>
  <si>
    <t>Интернет сайттарга кирүү</t>
  </si>
  <si>
    <t>Билдирүүлөрдү алмашуу (Telegram, WhatsApp, Skype, WeChat ж.б.)</t>
  </si>
  <si>
    <t>Интернет-банкинг же электрондук төлөмдөр</t>
  </si>
  <si>
    <t>Интернет-дүкөндөр жана сатуулар</t>
  </si>
  <si>
    <t>Онлайн-билим берүү</t>
  </si>
  <si>
    <t>COVIDден улам аралыктан иштөө</t>
  </si>
  <si>
    <t>Жумуш издөө</t>
  </si>
  <si>
    <t>Эч нерсе чектөөлөр жок</t>
  </si>
  <si>
    <t>Интернеттин кымбаттыгы</t>
  </si>
  <si>
    <t>Менин телефонума, планшетиме же компьютериме байланыштуу көйгөйлөр</t>
  </si>
  <si>
    <t>Интернеттин ылдамдыгы</t>
  </si>
  <si>
    <t>Вирус / зыяндуу ПК менен бузуп алууга тынчсыздануу</t>
  </si>
  <si>
    <t>Сизди көзөмөлдөйт / контролдойт деп тынчсызданасыз</t>
  </si>
  <si>
    <t>Мага пайдаланган оор</t>
  </si>
  <si>
    <t>Көбүрөөк пайдаланууга уруксат берилбейт (үй-бүлө, жубайы, ата-энеси)</t>
  </si>
  <si>
    <t>Менин тилимде маалыматтын (сайттардын) жоктугу (аздыгы)</t>
  </si>
  <si>
    <t>Башка чектөөлөр</t>
  </si>
  <si>
    <t>а. Бул казып алуучу отунга субсидияларды кыскартууну түшүндүрсө дагы, энергиянын таза булактарына өткөндөргө олуттуу мамлекеттик финансылык колдоо көрсөтүлүшү керек”</t>
  </si>
  <si>
    <t xml:space="preserve">б. “Улуттук өкмөт 2030-жылга карата шамал же күн энергиясы сыяктуу жаңыланма энергиянын өлчөмүн көбөйтүү боюнча масштабдуу максаттарды коюшу керек” </t>
  </si>
  <si>
    <t>г. “Менин жергиликтүү жамаатым суу ташкыны же жер титирөө сыяктуу жаратылыш кырсыктарына реакция кылууга жакшы даярдалган деп эсептейм”</t>
  </si>
  <si>
    <t>ga3</t>
  </si>
  <si>
    <t>996</t>
  </si>
  <si>
    <t>regex(., '[996][0-9]{11}')</t>
  </si>
  <si>
    <t>${np1}=1</t>
  </si>
  <si>
    <t>np1</t>
  </si>
  <si>
    <t>np2</t>
  </si>
  <si>
    <t>np3</t>
  </si>
  <si>
    <t>np4</t>
  </si>
  <si>
    <t>np5</t>
  </si>
  <si>
    <t>np6</t>
  </si>
  <si>
    <t>Kyrgyz</t>
  </si>
  <si>
    <t>Кыргызский</t>
  </si>
  <si>
    <t>Кыргыз</t>
  </si>
  <si>
    <t>Орус</t>
  </si>
  <si>
    <t>Англис</t>
  </si>
  <si>
    <t>if(${np2}='','',once(now()))</t>
  </si>
  <si>
    <t>Сураныч, программага кирүү үчүн өзүңүздүн системалык номериңизди киргизиңиз</t>
  </si>
  <si>
    <t>Үй чарбанын ID номери базада жок! Сураныч, артка кайтыңыз жана оңдоңуз.</t>
  </si>
  <si>
    <t>more common today</t>
  </si>
  <si>
    <t>about the same</t>
  </si>
  <si>
    <t>less common</t>
  </si>
  <si>
    <t>Более распространена сегодня</t>
  </si>
  <si>
    <t>Такая же как и была</t>
  </si>
  <si>
    <t>Менее распространена</t>
  </si>
  <si>
    <t>Мурдагыга караганда көбүрөөк таралган</t>
  </si>
  <si>
    <t>Мурдагыга караганда азыраак</t>
  </si>
  <si>
    <t xml:space="preserve">Operator: Please enter your enumerator code </t>
  </si>
  <si>
    <t>эч кандай аманат жок</t>
  </si>
  <si>
    <t>Миграция  секциясынын аягы</t>
  </si>
  <si>
    <t>Not at all serious</t>
  </si>
  <si>
    <t>Очень серьезная</t>
  </si>
  <si>
    <t>Несогласен</t>
  </si>
  <si>
    <t>Макул эмесмин</t>
  </si>
  <si>
    <t>wb16_</t>
  </si>
  <si>
    <t>cv14_</t>
  </si>
  <si>
    <t>COMMONLEVEL</t>
  </si>
  <si>
    <t>AGREEDISAGREE</t>
  </si>
  <si>
    <t>HOW_SERIOUS</t>
  </si>
  <si>
    <t>${wb19}&gt;0</t>
  </si>
  <si>
    <t>${wb17}&gt;0</t>
  </si>
  <si>
    <t>select_one YESNO</t>
  </si>
  <si>
    <t>YESNO</t>
  </si>
  <si>
    <t>select_one REFUSAL_REASON</t>
  </si>
  <si>
    <t>REFUSAL_REASON</t>
  </si>
  <si>
    <t>select_one OLDADULT</t>
  </si>
  <si>
    <t>OLDADULT</t>
  </si>
  <si>
    <t>select_one GENDER</t>
  </si>
  <si>
    <t>GENDER</t>
  </si>
  <si>
    <t>Көчүп кетти</t>
  </si>
  <si>
    <t>Үйлөндү/турмушка чыкты жана көчүп кетти</t>
  </si>
  <si>
    <t>Өлдү</t>
  </si>
  <si>
    <t>select_one YESNONAME</t>
  </si>
  <si>
    <t>YESNONAME</t>
  </si>
  <si>
    <t>select_one RELATIONSHIP</t>
  </si>
  <si>
    <t>RELATIONSHIP</t>
  </si>
  <si>
    <t>old_</t>
  </si>
  <si>
    <t>select_one TIME_END</t>
  </si>
  <si>
    <t>TIME_END</t>
  </si>
  <si>
    <t>SHOCKS</t>
  </si>
  <si>
    <t>new_</t>
  </si>
  <si>
    <t>${oldhhsize} + count(${new_})</t>
  </si>
  <si>
    <t>filter_empty&lt;=${fmid_max}+count(${new_})</t>
  </si>
  <si>
    <t>PASSPORTS AND HOUSEHOLD ROSTER</t>
  </si>
  <si>
    <t>ПАСПОРТ И СПИСОК ДОМОХОЗЯЙСТВ</t>
  </si>
  <si>
    <t>ПАСПОРТ ЖАНА ҮЙ-ЧАРБАЛАРДЫН ТИЗМЕСИ</t>
  </si>
  <si>
    <t>Добрый день! Меня зовут __________. Я работаю в компании Зеркало ЦА. В данный момент мы проводим исследование на тему «Изучение социально-экономического состояния домохозяйств» по Кыргызстану. Данный опрос будет проводиться каждые 30 дней в течение 12 месяцев. После каждого опроса мы перечислим ___ сом на Ваш телефон. Все ответы будут обрабатываться в обобщенном виде. Мы гарантируем Вам конфиденциальность и анонимность. Опрос будет продолжаться примерно 30-40 минут.</t>
  </si>
  <si>
    <t>Кутмандуу күнүңүз менен! Менин атым __________. Мен “Зеркало ЦА” (“Борбор Азия күзгүсү”) компаниясында иштейм. Азыркы учурда биз бүтүндөй Кыргызстан боюнча “Үй чарбаларынын социалдык-экономикалык абалын изилдөө” темасында изилдөө жүргүзүп жатабыз. Бул сурамжылоо 12 ай ичинде ар бир 30 күндө бир өткөрүлөт. Ар бир сурамжылоодон кийин сиздин телефонуңузга ___сом которобуз. Бардык жооптор жалпыланган түрдө иштелип чыгат. Сизге купуялуулукту жана анонимдүүлүктү кепилдейбиз. Сурамжылоо болжол менен 30-40 мүнөткө созулат.</t>
  </si>
  <si>
    <t>Operator: Please check HOUSEHOLD ID  __&lt;span style="color:red"&gt;${hhid}&lt;/span&gt;__</t>
  </si>
  <si>
    <t>old_hhid</t>
  </si>
  <si>
    <t>Пол</t>
  </si>
  <si>
    <t>new_hhid</t>
  </si>
  <si>
    <t>residing</t>
  </si>
  <si>
    <t>${residing}=2</t>
  </si>
  <si>
    <t>${residing}=3</t>
  </si>
  <si>
    <t>${residing}=4</t>
  </si>
  <si>
    <t xml:space="preserve">if((indexed-repeat(${residing}, ${old_}, 1)=2),'', if((indexed-repeat(${residing}, ${old_}, 1)=3),  indexed-repeat(${correct_name}, ${old_}, 1)  , if((1 &lt;= ${fmid_max}), ${oldp1}, indexed-repeat(${name}, ${new_}, 1-${fmid_max}))))
</t>
  </si>
  <si>
    <t>if((indexed-repeat(${residing}, ${old_}, 2)=2),'', if((indexed-repeat(${residing}, ${old_},2)=3),  indexed-repeat(${correct_name}, ${old_}, 2)  , if((2 &lt;= ${fmid_max}), ${oldp2}, indexed-repeat(${name}, ${new_},2-${fmid_max}))))</t>
  </si>
  <si>
    <t>if((indexed-repeat(${residing}, ${old_}, 3)=2),'', if((indexed-repeat(${residing}, ${old_}, 3)=3),  indexed-repeat(${correct_name}, ${old_}, 3)  ,  if((3 &lt;= ${fmid_max}), ${oldp3}, indexed-repeat(${name}, ${new_}, 3-${fmid_max}))))</t>
  </si>
  <si>
    <t>if((indexed-repeat(${residing}, ${old_}, 4)=2),'',  if((indexed-repeat(${residing}, ${old_}, 4)=3),  indexed-repeat(${correct_name}, ${old_}, 4)  ,if((4 &lt;= ${fmid_max}), ${oldp4}, indexed-repeat(${name}, ${new_}, 4-${fmid_max}))))</t>
  </si>
  <si>
    <t>if((indexed-repeat(${residing}, ${old_}, 5)=2),'', if((indexed-repeat(${residing}, ${old_}, 5)=3),  indexed-repeat(${correct_name}, ${old_}, 5)  , if((5 &lt;= ${fmid_max}), ${oldp5}, indexed-repeat(${name}, ${new_}, 5-${fmid_max}))))</t>
  </si>
  <si>
    <t>if((indexed-repeat(${residing}, ${old_}, 6)=2),'', if((indexed-repeat(${residing}, ${old_}, 6)=3),  indexed-repeat(${correct_name}, ${old_}, 6)  , if((6 &lt;= ${fmid_max}), ${oldp6}, indexed-repeat(${name}, ${new_}, 6-${fmid_max}))))</t>
  </si>
  <si>
    <t>if((indexed-repeat(${residing}, ${old_}, 7)=2),'',  if((indexed-repeat(${residing}, ${old_}, 7)=3),  indexed-repeat(${correct_name}, ${old_}, 7)  ,if((7 &lt;= ${fmid_max}), ${oldp7}, indexed-repeat(${name}, ${new_}, 7-${fmid_max}))))</t>
  </si>
  <si>
    <t>if((indexed-repeat(${residing}, ${old_}, 8)=2),'',  if((indexed-repeat(${residing}, ${old_}, 8)=3),  indexed-repeat(${correct_name}, ${old_}, 8)  ,if((8 &lt;= ${fmid_max}), ${oldp8}, indexed-repeat(${name}, ${new_},8-${fmid_max}))))</t>
  </si>
  <si>
    <t>if((indexed-repeat(${residing}, ${old_}, 9)=2),'', if((indexed-repeat(${residing}, ${old_}, 9)=3),  indexed-repeat(${correct_name}, ${old_}, 9)  ,if((9 &lt;= ${fmid_max}), ${oldp9}, indexed-repeat(${name}, ${new_}, 9-${fmid_max}))))</t>
  </si>
  <si>
    <t>if((indexed-repeat(${residing}, ${old_}, 10)=2),'',  if((indexed-repeat(${residing}, ${old_}, 10)=3),  indexed-repeat(${correct_name}, ${old_}, 10)  ,if((10 &lt;= ${fmid_max}), ${oldp10}, indexed-repeat(${name}, ${new_}, 10-${fmid_max}))))</t>
  </si>
  <si>
    <t>if((indexed-repeat(${residing}, ${old_}, 11)=2),'',  if((indexed-repeat(${residing}, ${old_}, 11)=3),  indexed-repeat(${correct_name}, ${old_}, 11)  ,if((11 &lt;= ${fmid_max}), ${oldp11}, indexed-repeat(${name}, ${new_}, 11-${fmid_max}))))</t>
  </si>
  <si>
    <t>if((indexed-repeat(${residing}, ${old_}, 12)=2),'', if((indexed-repeat(${residing}, ${old_}, 12)=3),  indexed-repeat(${correct_name}, ${old_}, 12)  , if((12 &lt;= ${fmid_max}), ${oldp12}, indexed-repeat(${name}, ${new_}, 12-${fmid_max}))))</t>
  </si>
  <si>
    <t>if((indexed-repeat(${residing}, ${old_}, 13)=2),'',  if((indexed-repeat(${residing}, ${old_}, 13)=3),  indexed-repeat(${correct_name}, ${old_}, 13)  ,if((13 &lt;= ${fmid_max}), ${oldp13}, indexed-repeat(${name}, ${new_}, 13-${fmid_max}))))</t>
  </si>
  <si>
    <t>if((indexed-repeat(${residing}, ${old_}, 14)=2),'',  if((indexed-repeat(${residing}, ${old_}, 14)=3),  indexed-repeat(${correct_name}, ${old_}, 14)  ,if((14 &lt;= ${fmid_max}), ${oldp14}, indexed-repeat(${name}, ${new_}, 14-${fmid_max}))))</t>
  </si>
  <si>
    <t>if((indexed-repeat(${residing}, ${old_}, 15)=2),'', if((indexed-repeat(${residing}, ${old_}, 15)=3),  indexed-repeat(${correct_name}, ${old_}, 15)  , if((15 &lt;= ${fmid_max}), ${oldp15}, indexed-repeat(${name}, ${new_}, 15-${fmid_max}))))</t>
  </si>
  <si>
    <t>if((indexed-repeat(${residing}, ${old_}, 16)=2),'', if((indexed-repeat(${residing}, ${old_}, 16)=3),  indexed-repeat(${correct_name}, ${old_}, 16)  , if((16 &lt;= ${fmid_max}), ${oldp16}, indexed-repeat(${name}, ${new_}, 16-${fmid_max}))))</t>
  </si>
  <si>
    <t>if((indexed-repeat(${residing}, ${old_}, 17)=2),'', if((indexed-repeat(${residing}, ${old_}, 17)=3),  indexed-repeat(${correct_name}, ${old_}, 17)  , if((17 &lt;= ${fmid_max}), ${oldp17}, indexed-repeat(${name}, ${new_}, 17-${fmid_max}))))</t>
  </si>
  <si>
    <t>if((indexed-repeat(${residing}, ${old_}, 18)=2),'', if((indexed-repeat(${residing}, ${old_}, 18)=3),  indexed-repeat(${correct_name}, ${old_}, 18)  ,if((18 &lt;= ${fmid_max}), ${oldp18}, indexed-repeat(${name}, ${new_}, 18-${fmid_max}))))</t>
  </si>
  <si>
    <t>if((indexed-repeat(${residing}, ${old_}, 19)=2),'', if((indexed-repeat(${residing}, ${old_}, 19)=3),  indexed-repeat(${correct_name}, ${old_}, 19)  ,if((19 &lt;= ${fmid_max}), ${oldp19}, indexed-repeat(${name}, ${new_}, 19-${fmid_max}))))</t>
  </si>
  <si>
    <t>if((indexed-repeat(${residing}, ${old_}, 20)=2),'', if((indexed-repeat(${residing}, ${old_}, 20)=3),  indexed-repeat(${correct_name}, ${old_}, 20)  , if((20 &lt;= ${fmid_max}), ${oldp20}, indexed-repeat(${name}, ${new_}, 20-${fmid_max}))))</t>
  </si>
  <si>
    <t>if((indexed-repeat(${residing}, ${old_}, 21)=2),'', if((indexed-repeat(${residing}, ${old_}, 21)=3),  indexed-repeat(${correct_name}, ${old_}, 21)  , if((21 &lt;= ${fmid_max}), ${oldp21}, indexed-repeat(${name}, ${new_}, 21-${fmid_max}))))</t>
  </si>
  <si>
    <t>if((indexed-repeat(${residing}, ${old_}, 22)=2),'', if((indexed-repeat(${residing}, ${old_}, 22)=3),  indexed-repeat(${correct_name}, ${old_}, 22)  ,if((22 &lt;= ${fmid_max}), ${oldp22}, indexed-repeat(${name}, ${new_}, 22-${fmid_max}))))</t>
  </si>
  <si>
    <t>if((indexed-repeat(${residing}, ${old_}, 23)=2),'', if((indexed-repeat(${residing}, ${old_}, 23)=3),  indexed-repeat(${correct_name}, ${old_}, 23)  ,if((23 &lt;= ${fmid_max}), ${oldp23}, indexed-repeat(${name}, ${new_}, 23-${fmid_max}))))</t>
  </si>
  <si>
    <t>if((indexed-repeat(${residing}, ${old_}, 24)=2),'', if((indexed-repeat(${residing}, ${old_}, 24)=3),  indexed-repeat(${correct_name}, ${old_}, 24)  , if((24 &lt;= ${fmid_max}), ${oldp24}, indexed-repeat(${name}, ${new_}, 24-${fmid_max}))))</t>
  </si>
  <si>
    <t>if((indexed-repeat(${residing}, ${old_}, 25)=2),'', if((indexed-repeat(${residing}, ${old_}, 25)=3),  indexed-repeat(${correct_name}, ${old_}, 25)  ,if((25 &lt;= ${fmid_max}), ${oldp25}, indexed-repeat(${name}, ${new_}, 25-${fmid_max}))))</t>
  </si>
  <si>
    <t>residing1</t>
  </si>
  <si>
    <t>residing2</t>
  </si>
  <si>
    <t>residing3</t>
  </si>
  <si>
    <t>residing4</t>
  </si>
  <si>
    <t>residing5</t>
  </si>
  <si>
    <t>residing6</t>
  </si>
  <si>
    <t>residing7</t>
  </si>
  <si>
    <t>residing8</t>
  </si>
  <si>
    <t>residing9</t>
  </si>
  <si>
    <t>residing10</t>
  </si>
  <si>
    <t>residing11</t>
  </si>
  <si>
    <t>residing12</t>
  </si>
  <si>
    <t>residing13</t>
  </si>
  <si>
    <t>residing14</t>
  </si>
  <si>
    <t>residing15</t>
  </si>
  <si>
    <t>residing16</t>
  </si>
  <si>
    <t>residing17</t>
  </si>
  <si>
    <t>residing18</t>
  </si>
  <si>
    <t>residing19</t>
  </si>
  <si>
    <t>residing20</t>
  </si>
  <si>
    <t>residing21</t>
  </si>
  <si>
    <t>residing22</t>
  </si>
  <si>
    <t>residing23</t>
  </si>
  <si>
    <t>residing24</t>
  </si>
  <si>
    <t>residing25</t>
  </si>
  <si>
    <t>concat(${residing1}, ${residing2}, ${residing3}, ${residing4}, ${residing5}, ${residing6}, ${residing7}, ${residing8}, ${residing9}, ${residing10}, ${residing11}, ${residing12}, ${residing13}, ${residing14}, ${residing15}, ${residing16}, ${residing17}, ${residing18}, ${residing19}, ${residing20}, ${residing21}, ${residing22}, ${residing23}, ${residing24}, ${residing25})</t>
  </si>
  <si>
    <t>Did you have any unexpected disruption in your water supply at home over the PAST 30 DAYS?</t>
  </si>
  <si>
    <t>В Вашем доме были ли за ПОСЛЕДНИЕ 30 ДНЕЙ внеплановые сбои в подаче воды (общий водопроводный кран, вода из скважины, вода из реки, привозная вода)?</t>
  </si>
  <si>
    <t>Сиздин үйүңүздө АКЫРКЫ 30 КҮНДӨ суу берүүдө пландан тышкары үзгүлтүктөр болду беле (жалпы суу түтүк краны, скважинадан алыган суу, дарыядан алынган суу, ташып келген суу)?</t>
  </si>
  <si>
    <t>On how many days was there a disruption in your water supply at home over the PAST 30 DAYS?</t>
  </si>
  <si>
    <t>За ПОСЛЕДНИЕ 30 ДНЕЙ сколько дней отсутствовала вода в Вашем доме?</t>
  </si>
  <si>
    <t>АКЫРКЫ 30 КҮНДӨ Сиздин үйүңүздө канча күн суу жок болду?</t>
  </si>
  <si>
    <t>What was the household's main alternative source of drinking water, during this disruption?</t>
  </si>
  <si>
    <t>Какие альтернативные источники пресной воды доступны во время отключения воды?</t>
  </si>
  <si>
    <t>Суу өчүрүлгөн убакта ичүүчү суунун кандай альтернативалуу булактары жеткиликтүү?</t>
  </si>
  <si>
    <t>select_one WATER_SOURCE</t>
  </si>
  <si>
    <t>WATER_SOURCE</t>
  </si>
  <si>
    <t xml:space="preserve">Piped into yard or plot </t>
  </si>
  <si>
    <t xml:space="preserve">Public tap/standpipe </t>
  </si>
  <si>
    <t xml:space="preserve">Tubewell/borehole </t>
  </si>
  <si>
    <t xml:space="preserve">Protected well </t>
  </si>
  <si>
    <t xml:space="preserve">Unprotected well </t>
  </si>
  <si>
    <t xml:space="preserve">Protected spring </t>
  </si>
  <si>
    <t xml:space="preserve">Unprotected spring </t>
  </si>
  <si>
    <t xml:space="preserve">Rainwater collection </t>
  </si>
  <si>
    <t xml:space="preserve">Tanker-truck </t>
  </si>
  <si>
    <t xml:space="preserve">Cart with small tank/drum </t>
  </si>
  <si>
    <t xml:space="preserve">Surface water </t>
  </si>
  <si>
    <t xml:space="preserve">Bottled water </t>
  </si>
  <si>
    <t xml:space="preserve">Водопровод встроенный в жилой дом </t>
  </si>
  <si>
    <t xml:space="preserve">Водопровод встроенный во двор </t>
  </si>
  <si>
    <t xml:space="preserve">Общественный кран </t>
  </si>
  <si>
    <t xml:space="preserve">Артезианская скважина </t>
  </si>
  <si>
    <t xml:space="preserve">Закрытый колодец </t>
  </si>
  <si>
    <t xml:space="preserve">Открытый колодец </t>
  </si>
  <si>
    <t xml:space="preserve">Закрытый родник </t>
  </si>
  <si>
    <t xml:space="preserve">Открытый родник </t>
  </si>
  <si>
    <t xml:space="preserve">Дождевая вода </t>
  </si>
  <si>
    <t xml:space="preserve">Водовоз, цистерна </t>
  </si>
  <si>
    <t xml:space="preserve">Тележка с небольшим баком/бочкой </t>
  </si>
  <si>
    <t xml:space="preserve">Поверхностная вода </t>
  </si>
  <si>
    <t xml:space="preserve">Вода в бутылках </t>
  </si>
  <si>
    <t xml:space="preserve">Другое </t>
  </si>
  <si>
    <t>For how many hours was electricity available for your household YESTERDAY?</t>
  </si>
  <si>
    <t>Сколько часов электричества было в вашем доме ВЧЕРА?</t>
  </si>
  <si>
    <t>For how many hours was electricity available for your household the DAY BEFORE YESTERDAY?</t>
  </si>
  <si>
    <t>Сколько часов электричества было подключено к вашему дому ПОЗАВЧЕРА?</t>
  </si>
  <si>
    <t>How much was your household’s last electricity payment?</t>
  </si>
  <si>
    <t>Какой был последний платеж за электричество в вашем домохозяйстве?</t>
  </si>
  <si>
    <t>How many days did the last electricity payment cover?</t>
  </si>
  <si>
    <t>Сколько дней покрывал последний платеж за электроэнергию?</t>
  </si>
  <si>
    <t>Электр энергиясы үчүн акыркы төлөм канча күнгө жетти?</t>
  </si>
  <si>
    <t>select_one HOW_MANY_DAYS</t>
  </si>
  <si>
    <t>HOW_MANY_DAYS</t>
  </si>
  <si>
    <t>Which kind of gas did your household use?</t>
  </si>
  <si>
    <t>Какой вид газа использовали в вашем доме?</t>
  </si>
  <si>
    <t>Үйүңүздө кандай түрдөгү газ колдонулган?</t>
  </si>
  <si>
    <t>select_one KIND_OF_GAS</t>
  </si>
  <si>
    <t>KIND_OF_GAS</t>
  </si>
  <si>
    <t>How much was your household’s last payment for central gas (piped)?</t>
  </si>
  <si>
    <t>Какой был последний платеж за центральный газ (трубопровод) в вашем домохозяйстве?</t>
  </si>
  <si>
    <t>Үй чарбаңызда борбордук газ (кубур түтүк) үчүн акыркы төлөм канча болду?</t>
  </si>
  <si>
    <t>How many days did the last gas (piped/central) payment cover?</t>
  </si>
  <si>
    <t>Сколько дней покрывал последний платеж за газ (трубопровод/центральный)?</t>
  </si>
  <si>
    <t>Газ (кубур түтүк/борбордук) үчүн акыркы төлөм канча күндү жапты?</t>
  </si>
  <si>
    <t>How much was your household’s last payment liquid gas in vessels?</t>
  </si>
  <si>
    <t>Какой был последний платеж за сжиженный газ (в баллоне) в вашем домохозяйстве?</t>
  </si>
  <si>
    <t>Үй чарбаңызда суюлтулган газ (баллондогу) газ үчүн акыркы төлөм канча болгон?</t>
  </si>
  <si>
    <t>How much liquid gas did your household purchase (kg)?</t>
  </si>
  <si>
    <t>Сколько сжиженного газа приобрела ваша семья (кг)?</t>
  </si>
  <si>
    <t>Үй-бүлөңүз канча суюлтулган газ сатып алган (кг)?</t>
  </si>
  <si>
    <t>How many days do you expect the last gas (liquid gas in vessels) payment to cover?</t>
  </si>
  <si>
    <t>На сколько дней вы ожидаете покрыть последний платеж за газ (сжиженный газ в баллоне)?</t>
  </si>
  <si>
    <t>Газ (баллондогу суюлтулган) үчүн акыркы төлөм канча күнгө жетет?</t>
  </si>
  <si>
    <t>Did your household have any outage in the supply of central gas in the LAST 30 DAYS?</t>
  </si>
  <si>
    <t>Были ли в вашей семье какие-либо перебои с подачей центрального газа за ПОСЛЕДНИЕ 30 ДНЕЙ?</t>
  </si>
  <si>
    <t>АКЫРКЫ 30 КҮНДӨ үй-бүлөңүздө борбордук газды берүүдө кандайдыр бир үзгүлтүктөр болгонбу?</t>
  </si>
  <si>
    <t>How many times did your central gas supply stop working?</t>
  </si>
  <si>
    <t>Сколько раз переставала работать центральная подача газа?</t>
  </si>
  <si>
    <t>Газды борордук берүү канча жолу иштебей калды?</t>
  </si>
  <si>
    <t>For how long did your central gas not work in the PAST 30 DAYS?</t>
  </si>
  <si>
    <t>Как долго ваш центральный газ не работал в ПОСЛЕДНИЕ 30 ДНЕЙ?</t>
  </si>
  <si>
    <t>АКЫРКЫ 30 КҮНДӨ борбордук газ канча күн иштеген жок? (күн)</t>
  </si>
  <si>
    <t>Did your home require heating over the PAST 30 DAYS?</t>
  </si>
  <si>
    <t>Требовалось ли отапливать дом за ПОСЛЕДНИЕ 30 ДНЕЙ?</t>
  </si>
  <si>
    <t>АКЫРКЫ 30 КҮНДӨ үйдү жылытуу талап кылындыбы?</t>
  </si>
  <si>
    <t>Did you have any disruption in your heating at home over the PAST 30 DAYS?</t>
  </si>
  <si>
    <t>В вашем доме были ли за ПОСЛЕДНИЕ 30 ДНЕЙ сбои при отоплении дома?</t>
  </si>
  <si>
    <t>Үйүңүздө АКЫРКЫ 30 КҮНДӨ үйдү жылытууда үзгүлтүктөр болду беле?</t>
  </si>
  <si>
    <t>On how many days was there a disruption in your heating at home over the PAST 30 DAYS?</t>
  </si>
  <si>
    <t>Сколько дней за ПОСЛЕДНИЕ 30 ДНЕЙ были проблемы с отоплением дома?</t>
  </si>
  <si>
    <t>АКЫРКЫ 30 КҮНДӨ үйдү жылытууда канча күн көйгөйлөр болгон?</t>
  </si>
  <si>
    <t>select_multiple IMPORTANT_CHANGE</t>
  </si>
  <si>
    <t>What change? (main categories)</t>
  </si>
  <si>
    <t>Что произошло? (основные категории)</t>
  </si>
  <si>
    <t>Эмне болду? (негизги категориялар)</t>
  </si>
  <si>
    <t>sh21_</t>
  </si>
  <si>
    <t>IMPORTANT_CHANGE</t>
  </si>
  <si>
    <t>What change? (detail)</t>
  </si>
  <si>
    <t>Что произошло? (подробности)</t>
  </si>
  <si>
    <t>Эмне болду? (кененирээк)</t>
  </si>
  <si>
    <t>wb_</t>
  </si>
  <si>
    <t>wb_end</t>
  </si>
  <si>
    <t>if(${wb_end}='' ,'', once(now()))</t>
  </si>
  <si>
    <t>WELLBEING</t>
  </si>
  <si>
    <t>БЛАГОПОЛУЧИЕ</t>
  </si>
  <si>
    <t>If you compare the financial well-being of your household with that of 30 DAYS AGO would you say that it is _____?</t>
  </si>
  <si>
    <t>Если сравнить финансовое положение Вашего домохозяйства за ПРОШЕДШИЕ 30 ДНЕЙ оно стало _____?</t>
  </si>
  <si>
    <t>select_one COMPARE_WB</t>
  </si>
  <si>
    <t>COMPARE_WB</t>
  </si>
  <si>
    <t>Do you expect the financial wellbeing of your household over the NEXT 30 DAYS to be _____?</t>
  </si>
  <si>
    <t>Ожидаете ли Вы, что в ПОСЛЕДУЮЩИЕ 30 ДНЕЙ финансовое состояние Вашего домохозяйства будет _____?</t>
  </si>
  <si>
    <t>КИЙИНКИ 30 КҮНДӨ үй чарбаңыздын финансылык абалы кандай болоорун күтөсүз______?</t>
  </si>
  <si>
    <t>On a scale from 1 to 5, where 1 is not satisfied at all and 5 is completely satisfied, how satisfied with life are the members of your household, in general?</t>
  </si>
  <si>
    <t>Пожалуйста, оцените общую удовлетворенность жизнью членов Вашего домохозяйства по 5 бальной шкале, где 1 означает полную неудовлетворенность, а 5 максимльную удовлетворенность.</t>
  </si>
  <si>
    <t>Сураныч, үй чарбаңыздын мүчөлөрүнүн жашоого жалпы канааттангандыгын 5 баллдык шкала боюнча баалаңыз, мында 1 толук канааттанбагандыкты, ал эми 5 максималдуу канааттангандыкты түшүндүрөт.</t>
  </si>
  <si>
    <t>Умеренно</t>
  </si>
  <si>
    <t>SATISFACTION</t>
  </si>
  <si>
    <t>select_one SATISFACTION</t>
  </si>
  <si>
    <t>On the same scale, how satisfied with life are you, in general?</t>
  </si>
  <si>
    <t>Пожалуйста, скажите, насколько вы удовлетворены своей жизнью по этой же шкале.</t>
  </si>
  <si>
    <t>Сураныч, бул шкала боюнча сиз жашоңузга канчалык канааттанасыз?</t>
  </si>
  <si>
    <t>Was your household able to buy enough food for members for the PAST 30 DAYS?</t>
  </si>
  <si>
    <t>У Вашего домохозяйства за ПОСЛЕДНИЕ 30 ДНЕЙ, была ли возможность купить достаточное количество продуктов питания для дома?</t>
  </si>
  <si>
    <t>Үй чарбаңызда АКЫРКЫ 30 КҮНДӨ үйгө жетиштүү өлчөмдө тамак-аш азыктарын сатып алуу мүмкүнчүлүгү болгонбу?</t>
  </si>
  <si>
    <t>Was your household financially unable to pay for utilities for the PAST 30 DAYS?</t>
  </si>
  <si>
    <t>За ПОСЛЕДНИЕ 30 ДНЕЙ, были ли случаи, когда ваше домохозяйство не могло оплатить коммунальные услуги?</t>
  </si>
  <si>
    <t>АКЫРКЫ 30 КҮНДӨ үй чарбаңыз коммуналдык кызмат көрсөтүүлөргө төлөй албай калган учурлар болгонбу?</t>
  </si>
  <si>
    <t>select_one YESNORECEIPT</t>
  </si>
  <si>
    <t>YESNORECEIPT</t>
  </si>
  <si>
    <t>Did your household borrow any money over the LAST 30 DAYS to pay for basic needs?</t>
  </si>
  <si>
    <t>За ПОСЛЕДНИЕ 30 ДНЕЙ Ваше домохозяйство брало в долг деньги для покрытия ежедневных расходов?</t>
  </si>
  <si>
    <t>select_one YESNOSAVINGS</t>
  </si>
  <si>
    <t>Did your household need to take from savings any money over the LAST 30 DAYS to pay for basic needs?</t>
  </si>
  <si>
    <t>За ПОСЛЕДНИЕ 30 ДНЕЙ, была ли необходимость Вашему домохозяйству брать деньги с сбережений для покрытия ежедневных расходов?</t>
  </si>
  <si>
    <t>АКЫРКЫ 30 КҮНДӨ үй чарбаңызда күнүмдүк чыгымдарды жабуу үчүн чогулткан акчадан алуу зарылчылыгы болду беле?</t>
  </si>
  <si>
    <t>YESNOSAVINGS</t>
  </si>
  <si>
    <t>Did your household sell any assets over the LAST 30 DAYS to pay for basic needs?</t>
  </si>
  <si>
    <t>За ПОСЛЕДНИЕ 30 ДНЕЙ пришлось ли Вашему домохозяйству продать какое-нибудь имуществo для покрытия ежедневных расходов?</t>
  </si>
  <si>
    <t>АКЫРКЫ 30 КҮНДӨ үй чарбаңыз күнүмдүк чыгымдарды жабуу үчүн кандайдыр бир мүлктү сатты беле?</t>
  </si>
  <si>
    <t>Has your household reduced consumption of food over the PAST 30 DAYS to pay for other needs?</t>
  </si>
  <si>
    <t>Over the LAST 30 DAYS has it been necessary, for any reason, for any household member to apply for medical treatment even if he/she did not?</t>
  </si>
  <si>
    <t>За ПОСЛЕДНИЕ 30 ДНЕЙ было ли необходимо по какой-либо причине кому-нибудь из членов домохозяйства обращение за медицинской помощью, даже если он/она этого не сделал(а)?</t>
  </si>
  <si>
    <t>АКЫРКЫ 30 КҮНДӨ кандайдыр бир себептен улам үй чарба мүчөлөрүңүздүн биринин медициналык жардамга кайрылуусу зарыл болгонбу, ал кайрылбаса дагы?</t>
  </si>
  <si>
    <t>In the LAST 30 DAYS did you forgo (do without) or postpone healthcare visits because of cost?</t>
  </si>
  <si>
    <t>За ПОСЛЕДНИЕ 30 ДНЕЙ вы отказывались (обходились без) или откладывали визиты к врачу из-за их стоимости?</t>
  </si>
  <si>
    <t>АКЫРКЫ 30 КҮНДӨ баасынан улам дарыгерге баруудан баш тарттыңызбы же артка жылдырдыңызбы?</t>
  </si>
  <si>
    <t>Has your household reduced payments for healthcare over the PAST 30 DAYS to pay for other needs (medications, hospitalization, missing visits with doctor)?</t>
  </si>
  <si>
    <t>За ПОСЛЕДНИЕ 30 ДНЕЙ, уменьшило ли Ваше домохозяйство расходы на медицинские услуги (как покупка медикаментов, визит к врачу, госпитализация) для покрытия ежедневных расходов?</t>
  </si>
  <si>
    <t>АКЫРКЫ 30 КҮНДӨ үй чарбаңыз күнүмдүк чыгымдарды жабуу үчүн медициналык кызмат көрсөтүүлөргө чыгымдарды (дары-дармек сатып алуу, дарыгерге баруу, ооруканага жатуу сыяктуу) азайттыбы?</t>
  </si>
  <si>
    <t>Has anyone in your household been sick over the PAST 30 DAYS?</t>
  </si>
  <si>
    <t>Кто-нибудь в Вашем домохозяйстве был болен за ПОСЛЕДНИЕ 30 ДНЕЙ?</t>
  </si>
  <si>
    <t>Үй чарбаңызда кимдир бирөө АКЫРКЫ 30 КҮНДӨ оорудубу?</t>
  </si>
  <si>
    <t>Do you believe that the current economic conditions in the city or area where you live are good, or not?</t>
  </si>
  <si>
    <t>Вы считаете, что текущие экономические условия в городе или местности, в которой вы проживаете хорошие или нет?</t>
  </si>
  <si>
    <t>Сиз жашаган шаардагы же жердеги учурдагы экономикалык абал жакшыбы же жокпу?</t>
  </si>
  <si>
    <t>ECONOMIC_COND</t>
  </si>
  <si>
    <t>select_one ECONOMIC_COND</t>
  </si>
  <si>
    <t xml:space="preserve">In your view, what are the most pressing economic challenges facing Kyrgyzstan? </t>
  </si>
  <si>
    <t>(up to 3)</t>
  </si>
  <si>
    <t xml:space="preserve">Как вы думаете какие экономические трудности стоят перед Кыргызстаном? </t>
  </si>
  <si>
    <t>(выберите до 3 вариантов ответа)</t>
  </si>
  <si>
    <t xml:space="preserve">Кыргызстандын алдында кандай экономикалык кыйынчылыктар турат деп ойлойсуз? </t>
  </si>
  <si>
    <t>(жооптун 3 вариантына чейин тандаңыз)</t>
  </si>
  <si>
    <t>select_multiple PRESSING_ECONOMIC</t>
  </si>
  <si>
    <t>PRESSING_ECONOMIC</t>
  </si>
  <si>
    <t>Соода</t>
  </si>
  <si>
    <t>How much bread in kilograms has your household purchased in the LAST 7 DAYS?</t>
  </si>
  <si>
    <t>За ПОСЛЕДНИЕ 7 ДНЕЙ сколько хлеба купило ваше домохозяйство в килограммах?</t>
  </si>
  <si>
    <t>АКЫРКЫ 7 КҮНДӨ үй чарбаңыз килограмм менен канча нан сатып алды?</t>
  </si>
  <si>
    <t>How much did you pay?</t>
  </si>
  <si>
    <t>Сколько было заплачено за покупку хлеба за ПОСЛЕДНИЕ 7 ДНЕЙ?</t>
  </si>
  <si>
    <t>АКЫРКЫ 7 КҮНДӨ нан сатып алууга канча төлөнгөн?</t>
  </si>
  <si>
    <t>How much flour in kilograms has your household purchased in the LAST 7 DAYS?</t>
  </si>
  <si>
    <t>За ПОСЛЕДНИЕ 7 ДНЕЙ сколько муки купило ваше домохозяйство в килограммах?</t>
  </si>
  <si>
    <t>АКЫРКЫ 7 КҮНДӨ үй чарбаңыз килограмм менен канча ун сатып алган?</t>
  </si>
  <si>
    <t>Сколько было заплачено?</t>
  </si>
  <si>
    <t>Канча сом төлөндү?</t>
  </si>
  <si>
    <t>Does anyone in your household smoke cigarettes?</t>
  </si>
  <si>
    <t>Кто-нибудь из членов вашего домохозяйства курит сигареты?</t>
  </si>
  <si>
    <t>Үй чарбаңыздын мүчөлөрүнүн ичинен кимдир бирөө тамеки тартабы?</t>
  </si>
  <si>
    <t>How many cigarettes did all members of your household smoke in the LAST 7 DAYS, in total?</t>
  </si>
  <si>
    <t>Сколько всего сигарет скурили все члены вашего домохозяйства, за ПОСЛЕДНИЙ 7 ДНЕЙ?</t>
  </si>
  <si>
    <t>Үй чарбаңыздын бардык мүчөлөрү АКЫРКЫ 7 КҮНДӨ жалпысынан канча тамеки тартышты?</t>
  </si>
  <si>
    <t>What was the cost of the most recent pack (20 pieces) of cigarettes purchased by a member of your household?</t>
  </si>
  <si>
    <t>Сколько стоила последняя пачка (20 штук) сигарет, купленная членами вашего домохозяйства?</t>
  </si>
  <si>
    <t>Үй чарбаңыздын мүчөлөрү сатып алган акыркы кутуча (20 даана) канча турган?</t>
  </si>
  <si>
    <t>During the PAST 30 DAYS, was there a time when you were worried you would not have enough food to eat because of a lack of money or other resources?</t>
  </si>
  <si>
    <t>За ПОСЛЕДНИЕ 30 ДНЕЙ  был ли хоть раз случай, когда Вы переживали, что у Вас недостаточно еды из-за недостатка денег или других ресурсов?</t>
  </si>
  <si>
    <t>АКЫРКЫ 30 КҮНДӨ Сизде акчанын же башка ресурстардын тартыштыгынан улам тамактын жетишсиздигине кайгырган жок дегенде бир учур болду беле?</t>
  </si>
  <si>
    <t>During the PAST 30 DAYS, was there a time when you were unable to eat healthy and nutritious food because of a lack of money or other resources?</t>
  </si>
  <si>
    <t>За ПОСЛЕДНИЕ 30 ДНЕЙ  был ли хоть раз случай, когда Вы не употребляли здоровую и питательную пищу из-за недостатка денег или других ресурсов?</t>
  </si>
  <si>
    <t>During the PAST 30 DAYS, was there a time when you ate only a few kinds of food because of a lack of money or other resources?</t>
  </si>
  <si>
    <t>За ПОСЛЕДНИЕ 30 ДНЕЙ  был ли хоть один случай, когда Вы ели однообразную пищу из-за недостатка денег или других ресурсов?</t>
  </si>
  <si>
    <t>АКЫРКЫ 30 КҮНДӨ акчанын же башка ресурстардын тартыштыгынан улам Сиз бир түрдүү тамак жеген жок дегенде бир учур болду беле?</t>
  </si>
  <si>
    <t>During the PAST 30 DAYS, was there a time when you had to skip a meal because of a lack of money or other resources to get food?</t>
  </si>
  <si>
    <t>During the PAST 30 DAYS, was there a time when you ate less than you thought you should because of a lack of money or other resources?</t>
  </si>
  <si>
    <t>За ПОСЛЕДНИЕ 30 ДНЕЙ  был ли хоть один случай, когда Вы ели меньше, чем надо было из-за недостатка денег или других ресурсов?</t>
  </si>
  <si>
    <t>АКЫРКЫ 30 КҮНДӨ акчанын же башка ресурстардын тартыштыгынан Сиз зарыл болгондон аз жеген жок дегенде бир учур болду беле?</t>
  </si>
  <si>
    <t>During the PAST 30 DAYS, was there a time when your household ran out of food because of a lack of money or other resources?</t>
  </si>
  <si>
    <t xml:space="preserve">За ПОСЛЕДНИЕ 30 ДНЕЙ  был ли хоть один случай, когда в Вашем домохозяйстве закончились продукты питания из-за недостатка денег или других ресурсов? </t>
  </si>
  <si>
    <t>АКЫРКЫ 30 КҮНДӨ акчанын же башка ресурстардын тартыштыгынан улам Сиздин үй чарбаңызда тамак-аш азыктары түгөнгөн жок дегенде бир учур болду беле?</t>
  </si>
  <si>
    <t>During the PAST 30 DAYS, was there a time when you were hungy but did not eat because there was not enough money or resources for food?</t>
  </si>
  <si>
    <t>За ПОСЛЕДНИЕ 30 ДНЕЙ  был ли хоть один случай, когда Вы испытывали голод, но не ели из-за недостатка денег или других ресурсов?</t>
  </si>
  <si>
    <t>АКЫРКЫ 30 КҮНДӨ акчанын же башка ресурстардын тартыштыгынан улам Сиз ачка болуп, бирок тамак жебеген жок дегенде бир учур болду беле?</t>
  </si>
  <si>
    <t>During the PAST 30 DAYS, was there a time when you went without eating for a whole day because of a lack of money or other resources?</t>
  </si>
  <si>
    <t>За ПОСЛЕДНИЕ 30 ДНЕЙ  был ли хоть один случай, когда Вы не ели целый день из-за недостатка денег или других ресурсов?</t>
  </si>
  <si>
    <t>АКЫРКЫ 30 КҮНДӨ акчанын же башка ресурстардын тартыштыгынан улам Сиз күн бою тамактанбаган жок дегенде бир учур болду беле?</t>
  </si>
  <si>
    <t>Please imagine a ten-step ladder where on the bottom, the first step, stand the poorest 10% people in our country, and on the highest, the tenth, stand the richest 10% people in our country. On which step of the ten is your household today?</t>
  </si>
  <si>
    <t>Представьте, пожалуйста, лестницу из десяти шагов, где внизу, на первом шаге, стоят самые бедные 10% людей в нашей стране, а на самом высоком, десятом - самые богатые 10% людей в нашей стране. На какой ступени из десяти ваша семья сегодня?</t>
  </si>
  <si>
    <t xml:space="preserve">Он кадамдан турган тепкичти элестетиңиз, биринчи кадамда эң жакыр адамдар, биздин өлкөдөгү 10% адам турат, ал эми эң жогорку онунчуда – эң байлар биздин өлкөдөгү 10% адам турат. Сиздин үй-бүлөңүз бүгүнкү күндө оңдун кайсы баскычында турат? </t>
  </si>
  <si>
    <t>select_one LADDER_POORRICH</t>
  </si>
  <si>
    <t>LADDER_POORRICH</t>
  </si>
  <si>
    <t>Now, imagine the same ten-step ladder FIVE YEARS AGO. On which step was your household at that time?</t>
  </si>
  <si>
    <t>Теперь представьте ту же лестницу из десяти ступеней ПЯТЬ ЛЕТ НАЗАД. На какой ступени было ваше дх в то время?</t>
  </si>
  <si>
    <t>Эми БЕШ ЖЫЛ МУРДАГЫ ошол эле он баскычтуу тепкичти элестетиңиз. Ошол убакта сиздин үй чарбаңыз кайсы баскычта турган?</t>
  </si>
  <si>
    <t>Where on the ladder do you believe your household will be FIVE YEARS FROM NOW?</t>
  </si>
  <si>
    <t>И где, по вашему мнению, ваше дх будет ЧЕРЕЗ ПЯТЬ ЛЕТ?</t>
  </si>
  <si>
    <t>Сиздин пикириңизде, БЕШ ЖЫЛДАН кийин сиздин үй чарбаңыз кайсы баскычта болот?</t>
  </si>
  <si>
    <t>MIGRATION</t>
  </si>
  <si>
    <t>Просто используйте ответ по умолчанию! Не оставляйте его пустым!</t>
  </si>
  <si>
    <t>Is any member of your household over the age of 15 and currently living in Kyrgyzstan considering going to another country for work?</t>
  </si>
  <si>
    <t>Кто-нибудь из Вашего домохозяйства старше 15 лет, проживающий в данный момент в Кыргызстане, планирует уехать работать в другую страну?</t>
  </si>
  <si>
    <t>select_multiple HH_ADULT</t>
  </si>
  <si>
    <t>Which household member(s) is considering migration?</t>
  </si>
  <si>
    <t>Кто из членов домохозяйства планирует уехать зарубеж в другую страну?</t>
  </si>
  <si>
    <t>Үй чарба мүчөлөрүнүн ичинен ким башка өлкөгө кетүүнү пландап жатат?</t>
  </si>
  <si>
    <t>Potential migration</t>
  </si>
  <si>
    <t>pot_</t>
  </si>
  <si>
    <t>pot_end</t>
  </si>
  <si>
    <t>if(${pot_end}='' , '', once(now()))</t>
  </si>
  <si>
    <t>potmig_hhid</t>
  </si>
  <si>
    <t>Чече элек</t>
  </si>
  <si>
    <t>COUNTRY_CONSIDER</t>
  </si>
  <si>
    <t>select_one COUNTRY_CONSIDER</t>
  </si>
  <si>
    <t>YESNODK</t>
  </si>
  <si>
    <t>select_one YESNODK</t>
  </si>
  <si>
    <t>Has any member of your household returned from working in another country over the PAST 30 DAYS?</t>
  </si>
  <si>
    <t>За ПОСЛЕДНИЕ 30 ДНЕЙ кто-нибудь из Вашего домохозяйства вернулся ли с трудовой миграции из другой страны?</t>
  </si>
  <si>
    <t>Which household member(s) has returned from migration?</t>
  </si>
  <si>
    <t>Кто из Вашего домохозяйства вернулся с трудовой миграции?</t>
  </si>
  <si>
    <t>Сиздин үй чарбаңыздын мүчөлөрүнүн ичинен кимиси эмгек миграциясынан кайтып келди?</t>
  </si>
  <si>
    <t>COUNTRY</t>
  </si>
  <si>
    <t>select_one COUNTRY</t>
  </si>
  <si>
    <t>select_one REASON_COME_BACK</t>
  </si>
  <si>
    <t>REASON_COME_BACK</t>
  </si>
  <si>
    <t>Is any member of your household currently living or staying temporarily in another country for work?</t>
  </si>
  <si>
    <t>На данный момент находится ли кто-либо из Вашего домохозяйства в трудовой миграции в другой стране?</t>
  </si>
  <si>
    <t>Азыркы учурда Сиздин үй чарбаңыздын ичинен кимдир бирөө башка өлкөдө миграцияда жүрөбү?</t>
  </si>
  <si>
    <t>Who is currently living or staying in another country for work?</t>
  </si>
  <si>
    <t>Кто из членов Вашего домохозяйства в данный момент находится в трудовой миграции?</t>
  </si>
  <si>
    <t>Сиздин үй чарбаңыздын мүчөлөрүнүн ичинен кимиси азыркы учурда эмгек миграциясында жүрөт?</t>
  </si>
  <si>
    <t>IN_TOUCH</t>
  </si>
  <si>
    <t xml:space="preserve">Daily </t>
  </si>
  <si>
    <t xml:space="preserve">Several times a week </t>
  </si>
  <si>
    <t xml:space="preserve">Once a week </t>
  </si>
  <si>
    <t xml:space="preserve">About once every two weeks </t>
  </si>
  <si>
    <t xml:space="preserve">About once every month </t>
  </si>
  <si>
    <t xml:space="preserve">About once every three months </t>
  </si>
  <si>
    <t xml:space="preserve">About once every six months </t>
  </si>
  <si>
    <t xml:space="preserve">About once a year </t>
  </si>
  <si>
    <t xml:space="preserve">Less often than once a year </t>
  </si>
  <si>
    <t xml:space="preserve">Каждый день </t>
  </si>
  <si>
    <t xml:space="preserve">Примерно несколько раз в неделю </t>
  </si>
  <si>
    <t xml:space="preserve">Примерно раз в неделю </t>
  </si>
  <si>
    <t xml:space="preserve">Примерно раз в две недели </t>
  </si>
  <si>
    <t xml:space="preserve">Примерно один раз в месяц </t>
  </si>
  <si>
    <t xml:space="preserve">Примерно один раз в три месяца </t>
  </si>
  <si>
    <t xml:space="preserve">Примерно раз в шесть месяцев </t>
  </si>
  <si>
    <t xml:space="preserve">Примерно один раз в год </t>
  </si>
  <si>
    <t xml:space="preserve">Реже одного раза в год </t>
  </si>
  <si>
    <t xml:space="preserve">Күн сайын  </t>
  </si>
  <si>
    <t xml:space="preserve">Жумасына бир нече жолу  </t>
  </si>
  <si>
    <t xml:space="preserve">Болжол менен жумасына бир жолу  </t>
  </si>
  <si>
    <t xml:space="preserve">Болжол менен эки жумада бир жолу  </t>
  </si>
  <si>
    <t xml:space="preserve">Болжол менен айына бир жолу  </t>
  </si>
  <si>
    <t xml:space="preserve">Болжол менен үч айда бир жолу  </t>
  </si>
  <si>
    <t xml:space="preserve">Болжол менен алты айда бир жолу  </t>
  </si>
  <si>
    <t xml:space="preserve">Болжол менен жылына бир жолу  </t>
  </si>
  <si>
    <t xml:space="preserve">Жылына бир жолудан көп эмес  </t>
  </si>
  <si>
    <t>select_one IN_TOUCH</t>
  </si>
  <si>
    <t xml:space="preserve">7 days (a week) </t>
  </si>
  <si>
    <t xml:space="preserve">15 days (two weeks) </t>
  </si>
  <si>
    <t xml:space="preserve">30 days (a month) </t>
  </si>
  <si>
    <t xml:space="preserve">90 days (a quarter) </t>
  </si>
  <si>
    <t xml:space="preserve">180 days (half a year) </t>
  </si>
  <si>
    <t xml:space="preserve">365 days (a year) </t>
  </si>
  <si>
    <t xml:space="preserve">7 дней (неделя) </t>
  </si>
  <si>
    <t xml:space="preserve">15 дней (две недели) </t>
  </si>
  <si>
    <t xml:space="preserve">30 дней (месяц) </t>
  </si>
  <si>
    <t xml:space="preserve">90 дней (квартал) </t>
  </si>
  <si>
    <t xml:space="preserve">180 дней (полгода) </t>
  </si>
  <si>
    <t xml:space="preserve">365 дней (год) </t>
  </si>
  <si>
    <t>Piped/central gas</t>
  </si>
  <si>
    <t>Liquid gas in vessels</t>
  </si>
  <si>
    <t xml:space="preserve">Трубопровод/центральный газ </t>
  </si>
  <si>
    <t xml:space="preserve">Сжиженный газ (в баллоне) </t>
  </si>
  <si>
    <t xml:space="preserve">Оба вида </t>
  </si>
  <si>
    <t xml:space="preserve">Birth </t>
  </si>
  <si>
    <t xml:space="preserve">Marriage </t>
  </si>
  <si>
    <t xml:space="preserve">Arrest </t>
  </si>
  <si>
    <t xml:space="preserve">Major injury </t>
  </si>
  <si>
    <t xml:space="preserve">Major illness </t>
  </si>
  <si>
    <t xml:space="preserve">Death </t>
  </si>
  <si>
    <t xml:space="preserve">Рождения </t>
  </si>
  <si>
    <t xml:space="preserve">Свадьба </t>
  </si>
  <si>
    <t xml:space="preserve">Арест </t>
  </si>
  <si>
    <t xml:space="preserve">Травма </t>
  </si>
  <si>
    <t xml:space="preserve">Болезнь </t>
  </si>
  <si>
    <t xml:space="preserve">Смерть </t>
  </si>
  <si>
    <t xml:space="preserve">Much worse than before </t>
  </si>
  <si>
    <t xml:space="preserve">Worse than before </t>
  </si>
  <si>
    <t xml:space="preserve">The same as before </t>
  </si>
  <si>
    <t xml:space="preserve">Намного лучше чем было раньше </t>
  </si>
  <si>
    <t xml:space="preserve">Not satisfied at all </t>
  </si>
  <si>
    <t xml:space="preserve">Not satisfied </t>
  </si>
  <si>
    <t xml:space="preserve">Moderate </t>
  </si>
  <si>
    <t xml:space="preserve">Satisfied </t>
  </si>
  <si>
    <t xml:space="preserve">Completely satisfied </t>
  </si>
  <si>
    <t xml:space="preserve">Полностью не удовлетворен </t>
  </si>
  <si>
    <t xml:space="preserve">Не удовлетворен </t>
  </si>
  <si>
    <t xml:space="preserve">Удовлетворен </t>
  </si>
  <si>
    <t xml:space="preserve">Полностью удовлетворен </t>
  </si>
  <si>
    <t xml:space="preserve">Азырынча дүмүрчөк ала элекпиз </t>
  </si>
  <si>
    <t>Education (training</t>
  </si>
  <si>
    <t>Preparing for migration (waiting for documents/processing</t>
  </si>
  <si>
    <t>select_one COMMUNICATION</t>
  </si>
  <si>
    <t>What is the most common mode of communcation you use?</t>
  </si>
  <si>
    <t>Чаще всего, какое средство связи используете для общения?</t>
  </si>
  <si>
    <t>Баарлашуу үчүн негизинен кандай байланыш каражатын колдоносуз?</t>
  </si>
  <si>
    <t>COMMUNICATION</t>
  </si>
  <si>
    <t xml:space="preserve">Phone call </t>
  </si>
  <si>
    <t xml:space="preserve">Text and video chatting app (e.g. facebook/skype/whatsapp/viber/line etc) </t>
  </si>
  <si>
    <t xml:space="preserve">Text message/sms via mobile phone </t>
  </si>
  <si>
    <t xml:space="preserve">Email </t>
  </si>
  <si>
    <t xml:space="preserve">Post </t>
  </si>
  <si>
    <t xml:space="preserve">По телефону </t>
  </si>
  <si>
    <t xml:space="preserve">Текст и видео-чаты приложение (фейсбук/скайп/вотсап/вайбер/лине итд) </t>
  </si>
  <si>
    <t xml:space="preserve">Смс по телефону </t>
  </si>
  <si>
    <t xml:space="preserve">Электронная почта </t>
  </si>
  <si>
    <t xml:space="preserve">Письмо по почте </t>
  </si>
  <si>
    <t>select_one CURRENCY</t>
  </si>
  <si>
    <t>In what currency?</t>
  </si>
  <si>
    <t>В какой валюте отправил?</t>
  </si>
  <si>
    <t>Кайсы валютада жөнөттү?</t>
  </si>
  <si>
    <t>CURRENCY</t>
  </si>
  <si>
    <t>Som</t>
  </si>
  <si>
    <t xml:space="preserve">Dollar </t>
  </si>
  <si>
    <t xml:space="preserve">Euro </t>
  </si>
  <si>
    <t xml:space="preserve">Ruble </t>
  </si>
  <si>
    <t xml:space="preserve">Tenge </t>
  </si>
  <si>
    <t xml:space="preserve">Другое (укажите) </t>
  </si>
  <si>
    <t>mg21z</t>
  </si>
  <si>
    <t>Specify the currency in which the transfer was made.</t>
  </si>
  <si>
    <t>How was the money sent?</t>
  </si>
  <si>
    <t>Каким способом деньги были отправлены Вам?</t>
  </si>
  <si>
    <t>Акча Сизге кандай жол менен жөнөтүлгөн?</t>
  </si>
  <si>
    <t>select_one HOW_SENT</t>
  </si>
  <si>
    <t>HOW_SENT</t>
  </si>
  <si>
    <t>What is/will be the main use of this money?</t>
  </si>
  <si>
    <t>На что в основном будут израсходованы/потрачены эти деньги?</t>
  </si>
  <si>
    <t>Бул акча негизинен эмнеге сарпталды/короду?</t>
  </si>
  <si>
    <t>select_one MAIN_USE</t>
  </si>
  <si>
    <t>MAIN_USE</t>
  </si>
  <si>
    <t xml:space="preserve">Food </t>
  </si>
  <si>
    <t xml:space="preserve">Education </t>
  </si>
  <si>
    <t xml:space="preserve">Health </t>
  </si>
  <si>
    <t xml:space="preserve">Savings </t>
  </si>
  <si>
    <t xml:space="preserve">Improve/buy housing </t>
  </si>
  <si>
    <t xml:space="preserve">Travel/migration </t>
  </si>
  <si>
    <t xml:space="preserve">Recreation </t>
  </si>
  <si>
    <t xml:space="preserve">Pay debt </t>
  </si>
  <si>
    <t xml:space="preserve">Wedding </t>
  </si>
  <si>
    <t xml:space="preserve">Buying a car </t>
  </si>
  <si>
    <t xml:space="preserve">Питание </t>
  </si>
  <si>
    <t xml:space="preserve">Образование </t>
  </si>
  <si>
    <t xml:space="preserve">Здоровье </t>
  </si>
  <si>
    <t xml:space="preserve">Сбережения </t>
  </si>
  <si>
    <t xml:space="preserve">Улучшить/купить жилье </t>
  </si>
  <si>
    <t xml:space="preserve">Путешествия/миграция </t>
  </si>
  <si>
    <t xml:space="preserve">Отдых </t>
  </si>
  <si>
    <t xml:space="preserve">Заплатить долг </t>
  </si>
  <si>
    <t xml:space="preserve">Покупка автомобиля </t>
  </si>
  <si>
    <t>Другое (укажите)</t>
  </si>
  <si>
    <t>mg23z</t>
  </si>
  <si>
    <t>Does your household receive any money from abroad from individuals who are not household members?</t>
  </si>
  <si>
    <t>Получает ли ваша семья деньги из-за границы от лиц, не являющихся ее членами?</t>
  </si>
  <si>
    <t>Сиздин үй чарбаңызга үй -бүлө мүчөсү болбогон адамдардан чет өлкөдөн акча түшөбү?</t>
  </si>
  <si>
    <t>Кайсы валютада жөнөтүлдү?</t>
  </si>
  <si>
    <t>mg26z</t>
  </si>
  <si>
    <t xml:space="preserve">How much did this (or did these) individual(s) send over the PAST 30 DAYS? </t>
  </si>
  <si>
    <t>Какую сумму получили от человека, не являющегося членом Вашего домохозяйства за ПОСЛЕДНИЕ 30 ДНЕЙ?</t>
  </si>
  <si>
    <t>ACTIVITY</t>
  </si>
  <si>
    <t>ЗАНЯТОСТЬ</t>
  </si>
  <si>
    <t>In the PAST 7 DAYS, has someone of the household done any work for pay profit or gain, even for an hour?</t>
  </si>
  <si>
    <t>За ПОСЛЕДНИЕ СЕМЬ ДНЕЙ, кто-нибудь из семьи выполнил ли какую-нибудь работу для получения дохода, даже если он/она работал(а) всего лишь час (исключая мигрантов)</t>
  </si>
  <si>
    <t>АКЫРКЫ ЖЕТИ КҮНДӨ үй-бүлө мүчөлөрүнүн ичинен кимдир бирөө киреше алуу үчүн кандайдыр бир ишти аткардыбы, эгерде ал болгону бир саат иштесе дагы (мигранттардан тышкары)</t>
  </si>
  <si>
    <t>select_one MAIN_ACTIVITY</t>
  </si>
  <si>
    <t>MAIN_ACTIVITY</t>
  </si>
  <si>
    <t xml:space="preserve">Government (regional, local) </t>
  </si>
  <si>
    <t xml:space="preserve">State-owned enterprise </t>
  </si>
  <si>
    <t xml:space="preserve">Private business or farm </t>
  </si>
  <si>
    <t xml:space="preserve">International organisation/foreign embassy </t>
  </si>
  <si>
    <t xml:space="preserve">Self-employed </t>
  </si>
  <si>
    <t xml:space="preserve">Other (specify) </t>
  </si>
  <si>
    <t xml:space="preserve">Государственная работа (область, район) </t>
  </si>
  <si>
    <t xml:space="preserve">Гос.бюджетные организации </t>
  </si>
  <si>
    <t xml:space="preserve">Частный бизнес или фермерское хозяйство </t>
  </si>
  <si>
    <t xml:space="preserve">Иностранная организация, посольства </t>
  </si>
  <si>
    <t xml:space="preserve">Самозанятость </t>
  </si>
  <si>
    <t xml:space="preserve">Чет өлкөлүк уюм, элчилик  </t>
  </si>
  <si>
    <t xml:space="preserve">Өзүн өзү жумуштандыруу  </t>
  </si>
  <si>
    <t>ac3z</t>
  </si>
  <si>
    <t>select_one IS_WORK</t>
  </si>
  <si>
    <t>IS_WORK</t>
  </si>
  <si>
    <t>select_one SORT_AGRI</t>
  </si>
  <si>
    <t>SORT_AGRI</t>
  </si>
  <si>
    <t xml:space="preserve">Cotton </t>
  </si>
  <si>
    <t xml:space="preserve">Wheat </t>
  </si>
  <si>
    <t xml:space="preserve">Rice </t>
  </si>
  <si>
    <t xml:space="preserve">Potato </t>
  </si>
  <si>
    <t xml:space="preserve">Vegetables </t>
  </si>
  <si>
    <t xml:space="preserve">Fruits </t>
  </si>
  <si>
    <t xml:space="preserve">Melons and gourds </t>
  </si>
  <si>
    <t xml:space="preserve">Forage crops </t>
  </si>
  <si>
    <t xml:space="preserve">Oil crops </t>
  </si>
  <si>
    <t xml:space="preserve">Хлопок </t>
  </si>
  <si>
    <t xml:space="preserve">Пшеница </t>
  </si>
  <si>
    <t xml:space="preserve">Рис </t>
  </si>
  <si>
    <t xml:space="preserve">Овощеводство </t>
  </si>
  <si>
    <t xml:space="preserve">Садоводство </t>
  </si>
  <si>
    <t xml:space="preserve">Виноград </t>
  </si>
  <si>
    <t xml:space="preserve">Бахчевые культуры </t>
  </si>
  <si>
    <t xml:space="preserve">Кормовые культуры </t>
  </si>
  <si>
    <t xml:space="preserve">Масличные культуры </t>
  </si>
  <si>
    <t>Was someone of the household absent from a job or business over the PAST 7 DAYS?</t>
  </si>
  <si>
    <t>Отсутствовал ли кто-либо из членов Вашего домохозяйства на своей работе за ПОСЛЕДНИЕ СЕМЬ ДНЕЙ?</t>
  </si>
  <si>
    <t>АКЫРКЫ ЖЕТИ КҮНДӨ үй чарбаңыздын мүчөлөрүнүн ичинен кимдир бирөө жумушунда болгон жокпу?</t>
  </si>
  <si>
    <t>Has any member of your household lost their job or otherwise stopped working over the PAST 30 DAYS?</t>
  </si>
  <si>
    <t>Кто-нибудь из членов вашей семьи потерял работу или иным образом прекратил работу за ПОСЛЕДНИЙ 30 ДНЕЙ?</t>
  </si>
  <si>
    <t>АКЫРКЫ 30 КҮНДӨ сиздин үй-бүлө мүчөлөрүңүздүн ичинен кимдир бирөөсү жумуш жоготтубу же башкача жол менен жумушун токтоттубу?</t>
  </si>
  <si>
    <t>Has any member of your household are currently looking for a job?</t>
  </si>
  <si>
    <t>Кто-нибудь из членов вашей семьи ищет сейчас работу?</t>
  </si>
  <si>
    <t>Үй-бүлө мүчөлөрүңүздүн ичинен кимдир бирөөсү азыр жумуш издеп жатабы?</t>
  </si>
  <si>
    <t>YESNONOTRESOLVED</t>
  </si>
  <si>
    <t xml:space="preserve">Yes, positively resolved </t>
  </si>
  <si>
    <t xml:space="preserve">Still under consideration </t>
  </si>
  <si>
    <t xml:space="preserve">No, not resolved </t>
  </si>
  <si>
    <t xml:space="preserve">Да, была позитивно решена </t>
  </si>
  <si>
    <t xml:space="preserve">Пока находится на рассмотрении </t>
  </si>
  <si>
    <t xml:space="preserve">Нет, не решена </t>
  </si>
  <si>
    <t xml:space="preserve"> VIEWS</t>
  </si>
  <si>
    <t>ВЗГЛЯДЫ</t>
  </si>
  <si>
    <t>select_one VIEW_AGREE</t>
  </si>
  <si>
    <t>The electricity tariffs my household pays is too high.</t>
  </si>
  <si>
    <t>Тариф за электроэнергию, который платит мое домохозяйство, слишком высок.</t>
  </si>
  <si>
    <t>Менин үй чарбам электр энергиясы үчүн төлөп жаткан тариф өтө жогору.</t>
  </si>
  <si>
    <t>VIEW_AGREE</t>
  </si>
  <si>
    <t>I believe that the Government is engaging in open dialogue with citizens and addressing their grievances.</t>
  </si>
  <si>
    <t>Я считаю, что Правительство проводит открытый диалог с гражданами и отвечает на их жалобы.</t>
  </si>
  <si>
    <t>Мен Өкмөт жарандар менен ачык диалог жүргүзөт жана алардын арыздарына жооп берет деп эсептейм.</t>
  </si>
  <si>
    <t xml:space="preserve">I believe district akims should be elected by citizens.
</t>
  </si>
  <si>
    <t>Я считаю, что районные акимы должны избираться гражданами.</t>
  </si>
  <si>
    <t>Район акимдерин жарандар шайлашы керек деп эсептейм.</t>
  </si>
  <si>
    <t>I believe that elections of local kenesh members are transparent.</t>
  </si>
  <si>
    <t>Я считаю, что выборы в местные кенеши прозрачны.</t>
  </si>
  <si>
    <t>Жергиликтүү кеңештерге шайлоо таза өтүп жатат деп эсептейм.</t>
  </si>
  <si>
    <t>Prices for things that I buy grew too fast over the PAST 30 DAYS.</t>
  </si>
  <si>
    <t xml:space="preserve">За ПОСЛЕДНИЕ 30 ДНЕЙ цены на вещи, которые я покупаю, слишком быстро растут. </t>
  </si>
  <si>
    <t>The government should play a bigger role directing the economy.</t>
  </si>
  <si>
    <t>Правительство должно играть большую роль, в управление экономикой.</t>
  </si>
  <si>
    <t>Экономиканы башкарууда Өкмөт чоң ролду ойношу керек.</t>
  </si>
  <si>
    <t>Now is a good time to find a job where I live.</t>
  </si>
  <si>
    <t>Сейчас самое подходящее время, чтобы найти работу по местожительству.</t>
  </si>
  <si>
    <t>Now it is a good time to start a business where I live.</t>
  </si>
  <si>
    <t>Сейчас самое подходящее время, чтобы начать свой бизнес.</t>
  </si>
  <si>
    <t>Азыр өз бизнесиңди баштоо үчүн эң ыңгайлуу убакыт.</t>
  </si>
  <si>
    <t>Imported goods from other countries should be strictly limited.</t>
  </si>
  <si>
    <t>Импортирование товаров из других стран должно быть строго ограничено.</t>
  </si>
  <si>
    <t>Башка өлкөлөрдөн товарларды импорттоо катуу чектелиши керек.</t>
  </si>
  <si>
    <t>I am optimistic about the economic situation of the country.</t>
  </si>
  <si>
    <t>Я с оптимизмом смотрю на экономическое положение страны.</t>
  </si>
  <si>
    <t xml:space="preserve">Мен өлкөнүн экономикалык абалына оптимизм менен карайм. </t>
  </si>
  <si>
    <t>There are times when my family cannot afford to buy enough food.</t>
  </si>
  <si>
    <t>Бывают случаи, когда моя семья не может позволить себе купить достаточно еды.</t>
  </si>
  <si>
    <t>Үй-бүлөм өзүнө жетиштүү тамак сатып ала албаган учурлар болот.</t>
  </si>
  <si>
    <t>My family's financial situation is worse now than it was LAST YEAR AT THIS TIME.</t>
  </si>
  <si>
    <t>Финансовое положение моей семьи сейчас хуже, чем  ГОД НАЗАД В ЭТО ВРЕМЯ</t>
  </si>
  <si>
    <t>select_one VIEW_AGREE_NOCHILD</t>
  </si>
  <si>
    <t>I am worried about being able to give my children a good education.</t>
  </si>
  <si>
    <t>(give option for no children)</t>
  </si>
  <si>
    <t>Я беспокоюсь о том, что не смогу обеспечить своих детей хорошим образованием.</t>
  </si>
  <si>
    <t>Балдарымды жакшы билим берүү менен камсыздай албаганыма тынчсызданам.</t>
  </si>
  <si>
    <t>VIEW_AGREE_NOCHILD</t>
  </si>
  <si>
    <t>Балдарым жок</t>
  </si>
  <si>
    <t>HOW_WELL</t>
  </si>
  <si>
    <t>TAX_IS</t>
  </si>
  <si>
    <t>LIKE_TOSEE</t>
  </si>
  <si>
    <t>ELECT_RISE_TARIFFS</t>
  </si>
  <si>
    <t>Provide greater direct financial support for low-income people</t>
  </si>
  <si>
    <t>Ввести тариф “спасательный круг”, чтобы небольшое количество электроэнергии каждый месяц было доступно по более низкой цене</t>
  </si>
  <si>
    <t xml:space="preserve">Кирешеси төмөн адамдарга олуттуу түз финансылык колдоо көрсөтүүнү камсыздоо </t>
  </si>
  <si>
    <t xml:space="preserve">Бардык колдонуучулар үчүн тарифтерди төмөндөтүү үчүн электр энергиясын жеткирип берүүчүлөргө өкмөттүк субсидияларды берүү </t>
  </si>
  <si>
    <t xml:space="preserve">Турак жайды кыйла энергиялык майнаптуу кыла турган оңдоо жана жаңыртуу үчүн финансылык колдоо көрсөтүүнү камсыздоо (мисалы, жакшыртылган жылуулук изоляциясы, энергияны азыраак керектеген энергияны үнөмдөөчү лампочкалар жана заманбап терезелер) </t>
  </si>
  <si>
    <t xml:space="preserve">Башка колдонуучулар үчүн тарифтерди төмөндөтүү үчүн, ишканаларга тарифтерди жогорулатуу </t>
  </si>
  <si>
    <t>GAS_RISE_TARIFFS</t>
  </si>
  <si>
    <t>Introduce a lifeline tariff so that a small amount of gas every month is available at lower cost</t>
  </si>
  <si>
    <t>Provide financial support for repairs and updates that make housing more energy efficient (such as better insulation, and better windows)</t>
  </si>
  <si>
    <t xml:space="preserve">Ввести такой тариф, чтобы каждый месяц было доступно небольшое количество газа по более низкой цене </t>
  </si>
  <si>
    <t xml:space="preserve">Обеспечить большую прямую финансовую поддержку для людей с низким доходом </t>
  </si>
  <si>
    <t xml:space="preserve">Предоставление субсидии от страны для снижения тарифов для всех пользователей </t>
  </si>
  <si>
    <t xml:space="preserve">Обеспечить финансовую поддержку для ремонта и обновления, которые делают жилье более энергоэффективным (например, лучшая изоляция и лучшие окна) </t>
  </si>
  <si>
    <t xml:space="preserve">Поднять тарифы на предприятия, чтобы снизить тарифы для других пользователей </t>
  </si>
  <si>
    <t>IMM_HOWFEEL</t>
  </si>
  <si>
    <t>IMM_BADGOOD</t>
  </si>
  <si>
    <t>IMM_JOB</t>
  </si>
  <si>
    <t>SCALEONEFIVE1</t>
  </si>
  <si>
    <t>SCALEONEFIVE2</t>
  </si>
  <si>
    <t>SCALEONEFIVE3</t>
  </si>
  <si>
    <t>SCALEONEFIVE4</t>
  </si>
  <si>
    <t>LEVELINFORMED</t>
  </si>
  <si>
    <t xml:space="preserve">Абдан начар </t>
  </si>
  <si>
    <t>LEVELRISE</t>
  </si>
  <si>
    <t xml:space="preserve">Совсем не серьезная </t>
  </si>
  <si>
    <t xml:space="preserve">Таптакыр орчундуу эмес </t>
  </si>
  <si>
    <t>Абдан орчундуу</t>
  </si>
  <si>
    <t>I am worried about losing my job (or not finding a job).</t>
  </si>
  <si>
    <t>Я беспокоюсь потерять работу (или не найти работу).</t>
  </si>
  <si>
    <t>Мен жумушумду жоготуп алуудан корком (же жумуш таба албай калуудан).</t>
  </si>
  <si>
    <t>The country is generally on the right track on political, social, and economic reforms.</t>
  </si>
  <si>
    <t>Страна, как правило, находится на правильном пути политических, социальных и экономических реформ.</t>
  </si>
  <si>
    <t xml:space="preserve">Өлкө саясый, социалдык жана экономикалык реформалардын туура жолунда турат. </t>
  </si>
  <si>
    <t>People of all faiths and ethnicities are treated equaly and fairly in the country by the government.</t>
  </si>
  <si>
    <t>Правительство относится справедливо к людям всех вер и этнических групп одинаково.</t>
  </si>
  <si>
    <t>Өкмөт бардык диндеги адамдарга жана Этностук топторго бирдей адилеттүү мамиле кылат.</t>
  </si>
  <si>
    <t>Women receive equal ease of access to education, employment and healthcare as men in Kyrgyzstan.</t>
  </si>
  <si>
    <t>Женщины получают равный доступ к образованию, занятости и здравоохранению в Кыргызстане.</t>
  </si>
  <si>
    <t>The government does enough to help poor people.</t>
  </si>
  <si>
    <t>Правительство делает достаточно, чтобы помочь бедным людям.</t>
  </si>
  <si>
    <t>Өкмөт жакыр адамдарга жардам берүү үчүн жетиштүү аракеттерди көрүп жатат.</t>
  </si>
  <si>
    <t>The government does enough to help disabled people.</t>
  </si>
  <si>
    <t>Правительство делает достаточно, чтобы помочь людям с инвалидностью.</t>
  </si>
  <si>
    <t>Өкмөт мүмкүнчүлүгү чектелген адамдарга жардам берүү үчүн жетиштүү аракеттерди көрүп жатат.</t>
  </si>
  <si>
    <t>The government does enough to help children.</t>
  </si>
  <si>
    <t>Правительство делает достаточно, чтобы помочь детям.</t>
  </si>
  <si>
    <t>Өкмөт балдарга жардам берүү үчүн жетиштүү аракеттерди көрүп жатат</t>
  </si>
  <si>
    <t>The government does enough to help elderly people.</t>
  </si>
  <si>
    <t>Правительство делает достаточно, чтобы помочь пожилым.</t>
  </si>
  <si>
    <t>Өкмөт улгайган адамдарга жардам берүү үчүн жетиштүү аракеттерди көрүп жатат</t>
  </si>
  <si>
    <t>Do you agree or disagree with the following statement: “My household is poor”?</t>
  </si>
  <si>
    <t>Вы согласны или не согласны со следующим утверждением: “Моя семья бедная”?</t>
  </si>
  <si>
    <t>Сиз төмөндөгүдөй билдирүүгө макулсузбу же макул эмессизби: “Менин үй-бүлөм жакыр”?</t>
  </si>
  <si>
    <t>select_one HOW_WELL</t>
  </si>
  <si>
    <t>In your view, how well is the national government doing at fighting corruption?</t>
  </si>
  <si>
    <t>На ваш взгляд, насколько хорошо правительство страны ведет борьбу с коррупцией?</t>
  </si>
  <si>
    <t xml:space="preserve">Сиздин көз карашыңызда, өлкө өкмөтү канчалык деңгээлде коррупция менен жакшы күрөшүп жатат? </t>
  </si>
  <si>
    <t>select_one TAX_IS</t>
  </si>
  <si>
    <t>The typical tax that my family members and I pay on goods and services is _____.</t>
  </si>
  <si>
    <t>Типичный налог, который мы с членами моей семьи платим за покупку товаров и услуг, для нас _____.</t>
  </si>
  <si>
    <t>Биз үй-бүлө мүчөлөрүбүз менен товарларды жана кызмат көрсөтүүлөрдү сатып алуу үчүн төлөгөн типтүү салык, биз үчүн _______.</t>
  </si>
  <si>
    <t>The typical tax that my family members and I pay on our income is _____.</t>
  </si>
  <si>
    <t>Подоходный налог, который мы с членами моей семьи платим за доходы, для нас _____.</t>
  </si>
  <si>
    <t>Биз үй-бүлө мүчөлөрүбүз менен киреше үчүн төлөгөн киреше салыгы, биз үчүн _______.</t>
  </si>
  <si>
    <t>The typical tax that my family members and I pay on our housing is _____.</t>
  </si>
  <si>
    <t>Типичный налог, который мы с членами моей семьи платим за наше жилье и имущество _____.</t>
  </si>
  <si>
    <t>Биз үй-бүлө мүчөлөрүбүз менен турак-жайыбыз жана мүлкүбүз үчүн төлөгөн типтүү салык, биз үчүн _______.</t>
  </si>
  <si>
    <t>select_one LIKE_TOSEE</t>
  </si>
  <si>
    <t>In Kyrgyzstan, would you like to see _____.</t>
  </si>
  <si>
    <t>Что бы Вы хотели увидеть в Кыргызстане _____.</t>
  </si>
  <si>
    <t>Сиз Кыргызстандан эмнени көргүңүз келет ____.</t>
  </si>
  <si>
    <t>I believe that current homeowners in urban areas are being treated fairly with respect to new construction and development.</t>
  </si>
  <si>
    <t>Я считаю, что в настоящее время к старым домовладельцам в городских районах обращаются справедливо по возмещению ущерба при строительстве нового жилья и построек.</t>
  </si>
  <si>
    <t>I believe that electricity tariffs should be increased to improve service quality.</t>
  </si>
  <si>
    <t>Я считаю, что тарифы на электроэнергию должны быть увеличены для улучшения качества обслуживания.</t>
  </si>
  <si>
    <t>Тейлөө сапатын жакшыртуу үчүн электр энергиясына тарифтер көбөйтүлүшү керек деп эсептейм.</t>
  </si>
  <si>
    <t>I believe that gas tariffs should be increased to improve service quality.</t>
  </si>
  <si>
    <t>Я считаю, что тарифы на газ должны быть увеличены для улучшения качества обслуживания.</t>
  </si>
  <si>
    <t>Тейлөө сапатын жакшыртуу үчүн газга тарифтер көбөйтүлүшү керек деп эсептейм.</t>
  </si>
  <si>
    <t>I am worried that high-income people get more benefits from government policies to keep low electricity and gas tariffs than do low-income people.</t>
  </si>
  <si>
    <t>Я обеспокоен тем, что люди с высоким доходом получают больше выгод от государственных субсидий для поддержания низких тарифов на электроэнергию и газ, чем люди с низким доходом.</t>
  </si>
  <si>
    <t>Electricity service quality (including outages) is a serious problem for my household.</t>
  </si>
  <si>
    <t>Качество электроснабжения (включая перебои) является серьезной проблемой для моего домохозяйства.</t>
  </si>
  <si>
    <t>Электр менен жабдуу сапаты (анын ичинде үзгүлтүктөр) менин үй чарбам үчүн олуттуу көйгөй болуп саналат.</t>
  </si>
  <si>
    <t>Gas service quality (including outages) is a serious problem for my household.</t>
  </si>
  <si>
    <t>Качество услуг газа (включая перебои) является серьезной проблемой для моего домохозяйство.</t>
  </si>
  <si>
    <t>Газ кызмат көрсөтүүлөр сапаты (анын ичинде үзгүлтүктөр) менин үй чарбам үчүн олуттуу көйгөй болуп саналат.</t>
  </si>
  <si>
    <t>vw34_</t>
  </si>
  <si>
    <t>select_multiple ELECT_RISE_TARIFFS</t>
  </si>
  <si>
    <t>If electricity tariffs increase, how would you prefer the government support vulnerable people?</t>
  </si>
  <si>
    <t>Если тарифы на электроэнергию увеличатся, какую бы поддержку вы предпочли со стороны государства социально уязвимым людям?</t>
  </si>
  <si>
    <t>Эгерде электр энергиясына тарифтер жогоруласа, мамлекеттин социалдык жактан аялуу адамдарга кандай колдоо көрсөтүүсүн каалайт элеңиз?</t>
  </si>
  <si>
    <t>select_multiple GAS_RISE_TARIFFS</t>
  </si>
  <si>
    <t>If gas (piped/liquid in vessels) tariffs increase, how would you prefer the government support vulnerable people?</t>
  </si>
  <si>
    <t>Если тарифы на газ (трубопровод/сжиженный (в баллоне)) увеличатся, какую бы поддержку вы предпочли со стороны государства социально уязвимым людям?</t>
  </si>
  <si>
    <t>Эгерде газга (кубур түтүк/суюлтулган (баллондогу)) тарифтер жогоруласа, мамлекет тарабынан социалдык жактан аялуу адамдарга кандай колдоо көрсөтүлүшүн каалайт элеңиз?</t>
  </si>
  <si>
    <t>In my opinion, fewer women should be working outside of the home than is presently the case in Kyrgyzstan.</t>
  </si>
  <si>
    <t>По моему мнению, женщины должны меньше работать вне дома, чем в настоящее время в Кыргызстане.</t>
  </si>
  <si>
    <t>Менин пикиримде, Кыргызстанда аялдар үйдөн тышкары азыркы убакка караганда азыраак иштеши керек.</t>
  </si>
  <si>
    <t>In my opinion, there should be quotas enforced to ensure gender balance in government employment.</t>
  </si>
  <si>
    <t>По моему мнению, должны быть введены квоты для обеспечения гендерного баланса в государственной занятости.</t>
  </si>
  <si>
    <t>Менин пикиримде, мамлекеттик жумуштарда гендердик балансты камсыздоо үчүн квоталар киргизилиши керек.</t>
  </si>
  <si>
    <t>In my opinion, there should be quotas enforced to ensure gender balance in private sector employment.</t>
  </si>
  <si>
    <t>По моему мнению, должны быть введены квоты для обеспечения гендерного баланса в занятости в частном секторе.</t>
  </si>
  <si>
    <t>Менин пикиримде, жеке сектордогу жумушта гендердик балансты камсыздоо үчүн квоталар киргизилиши керек.</t>
  </si>
  <si>
    <t>select_one IMM_HOWFEEL</t>
  </si>
  <si>
    <t>How do you feel about immigration to Kyrgyzstan positive or negative?</t>
  </si>
  <si>
    <t>Как вы относитесь к иммиграции в Кыргызстан - положительно или отрицательно?</t>
  </si>
  <si>
    <t>Сиз Кыргызстандагы иммиграцияга кандай карайсыз – оң же терс?</t>
  </si>
  <si>
    <t>select_one IMM_BADGOOD</t>
  </si>
  <si>
    <t>Is immigration bad or good for the country’s economy?</t>
  </si>
  <si>
    <t>Иммиграция - это плохо или хорошо для экономики страны?</t>
  </si>
  <si>
    <t>Иммиграция – бул өлкө экономикасы үчүн жаманбы же жакшыбы?</t>
  </si>
  <si>
    <t>select_one IMM_JOB</t>
  </si>
  <si>
    <t>Would you say that people who come to live here generally take jobs away from workers or generally help to create new jobs?</t>
  </si>
  <si>
    <t>Можно ли сказать, что люди, которые приезжают сюда жить, обычно занимают рабочие места или помогают создавать новые рабочие места?</t>
  </si>
  <si>
    <t>Бул жакка жашаганы келген адамдар жумуш орундарын ээлеп алат же жаңы жумуш орундарын түзүүгө жардам берет деп айтууга болобу?</t>
  </si>
  <si>
    <t>select_one SCALEONEFIVE1</t>
  </si>
  <si>
    <t>On a scale from 1 to 5, where 1 is the lowest and 5 is the highest, how much trust do you have in CENTRAL BANK?</t>
  </si>
  <si>
    <t>По шкале от 1 (до 5 оцените свое отношение к Национальному банку</t>
  </si>
  <si>
    <t>1 ден (таптакыр ишеним жок) 5 (толук ишенем) ке чейин Улуттук банка болгон ишенимиңиз кандай?</t>
  </si>
  <si>
    <t>select_one SCALEONEFIVE2</t>
  </si>
  <si>
    <t>On a scale from 1 to 5, where 1 is the lowest and 5 is the highest, do you think that POLITICIANS act in public’s best interest?</t>
  </si>
  <si>
    <t>По шкале от 1 до 5 пожалуйста оцените свое отношение к утверждению “Политики действуют в интересах общества</t>
  </si>
  <si>
    <t xml:space="preserve">“Кыргызстанда саясатчылар эл үчүн кам көрөт” деген ырастоого 1 ден 5 ке чейин өзүңүздүн мамилеңиз кандай </t>
  </si>
  <si>
    <t>select_one SCALEONEFIVE3</t>
  </si>
  <si>
    <t>On a scale from 1 to 5, where 1 is the lowest and 5 is the highest, do you think POLITICIANS are long-term?</t>
  </si>
  <si>
    <t>По шкале от 1 до 5 пожалуйста оцените свое отношение к утверждению “Политики ориентированы на долгосрочную перспективу»</t>
  </si>
  <si>
    <t xml:space="preserve">Саясатчылар узак мөөнөттө деген ырастоо боюнча 1 ден 5 ке чейин өзүңүздүн мамилеңиз кандай </t>
  </si>
  <si>
    <t>select_one SCALEONEFIVE4</t>
  </si>
  <si>
    <t>On a scale from 1 to 5, where 1 is the lowest and 5 is the highest, do you think POLITICIANS are fiscally competent?</t>
  </si>
  <si>
    <t>По шкале от 1 до 5 пожалуйста оцените свое отношение к утверждению «Политики, обладающие финансовой компетенцией»</t>
  </si>
  <si>
    <t xml:space="preserve">Каржы мүмкүнчүлүгү бар саясатчылар тууралуу ырастоо боюнча 1 ден 5 ке чейин өзүңүздүн мамилеңиз кандай </t>
  </si>
  <si>
    <t>Has your household received any pension payments over the LAST 30 DAYS?</t>
  </si>
  <si>
    <t>За ПОСЛЕДНИЕ 30 ДНЕЙ, получило ли Ваше домохозяйство какие-нибудь пенсионные выплаты?</t>
  </si>
  <si>
    <t>АКЫРКЫ 30 КҮНДӨ Сиздин үй чарбаңыз кандайдыр бир пенсиялык төлөмдөрдү алдыбы?</t>
  </si>
  <si>
    <t>How much did your household receive?</t>
  </si>
  <si>
    <t>Сколько составила общая сумма пенсии Вашего домохозяйства?</t>
  </si>
  <si>
    <t>Сиздин үй чарбаңыздын пенсиясынын жалпы суммасы канчаны түздү?</t>
  </si>
  <si>
    <t>Has you household received any social protection payments over the LAST 30 DAYS?</t>
  </si>
  <si>
    <t>За ПОСЛЕДНИЕ 30 ДНЕЙ, получило ли Ваше домохозяйство какую-нибудь денежную выплату со стороны органов социальной защиты населения?</t>
  </si>
  <si>
    <t>АКЫРКЫ 30 КҮНДӨ Сиздин үй чарбаңыз калкты социалдык колдоо органдары тарабынан кандайдыр бир акчалай төлөмдөрдү алдыбы?</t>
  </si>
  <si>
    <t>inc4_</t>
  </si>
  <si>
    <t>BENEFIT</t>
  </si>
  <si>
    <t>select_multiple BENEFIT</t>
  </si>
  <si>
    <t>What benefits did your household receive?</t>
  </si>
  <si>
    <t>(pick top 3)</t>
  </si>
  <si>
    <t>(выберите 3 ключевые)</t>
  </si>
  <si>
    <t>(3 негизги жооп танданыз)</t>
  </si>
  <si>
    <t>inc4z</t>
  </si>
  <si>
    <t>Какую сумму Вы получили от органов социальной защиты населения?</t>
  </si>
  <si>
    <t>Сиз калкты социалдык коргоо органдарынан канча сумма алдыңыз?</t>
  </si>
  <si>
    <t>Has you household received wage income over the LAST 30 DAYS (excluding agricultural work)?</t>
  </si>
  <si>
    <t>За ПОСЛЕДНИЕ 30 ДНЕЙ, получило ли Ваше домохозяйство заработную плату (исключая доходы от сельскохозяйственной деятельности)?</t>
  </si>
  <si>
    <t>АКЫРКЫ 30 КҮНДӨ үй чарбаңыз эмгек акы алдыбы (айыл чарба ишинен түшкөн кирешеден тышкары)?</t>
  </si>
  <si>
    <t>Какую сумму составила заработанная плата Вашего домохозяйства?</t>
  </si>
  <si>
    <t>Сиздин үй чарбаңыздын эмгек акысы канча сумманы түздү?</t>
  </si>
  <si>
    <t>Has your household received any income from agricultural work over the LAST 30 DAYS?</t>
  </si>
  <si>
    <t>За ПОСЛЕДНИЕ 30 ДНЕЙ получило ли Ваше домохозяйство какой нибудь доход от сельхоз деятельности?</t>
  </si>
  <si>
    <t>АКЫРКЫ 30 КҮНДӨ Сиздин үй чарбаңыз айыл чарба ишинен кандайдыр бир киреше алдыбы?</t>
  </si>
  <si>
    <t>Какую сумму денег получило ваше домохозяйство от сельхоз деятельности?</t>
  </si>
  <si>
    <t>Сиздин үй чарбаңыз айыл чарба ишинен канча суммада акча алды?</t>
  </si>
  <si>
    <t>Has your household received any self employment income for the LAST 30 DAYS (excluding work reported above)?</t>
  </si>
  <si>
    <t>За ПОСЛЕДНИЕ 30 ДНЕЙ получило ли ваше домохозяйство доход от частной деятельности/самозанятости (не включая работ, указанных выше)?</t>
  </si>
  <si>
    <t>АКЫРКЫ 30 КҮНДӨ сиздин үй чарбаңыз жеке иштен/өзүн өзү жумуштандыруудан киреше алдыбы (жогоруда көрсөтүлгөн иштерден тышкары)?</t>
  </si>
  <si>
    <t>Какую сумму денег получило ваше домохозяйство от частной деятельности/самозанятости?</t>
  </si>
  <si>
    <t>Сиздин үй чарбаңыз жеке иштен/өзүн өзү жумуштандыруудан канча суммада акча алды?</t>
  </si>
  <si>
    <t>Has your household received any other income (not including remittances) over the LAST 30 DAYS?</t>
  </si>
  <si>
    <t>За ПОСЛЕДНИЕ 30 ДНЕЙ, получило ли Ваше домохозяйство какой нибудь другой доход (кроме денежных переводов)?</t>
  </si>
  <si>
    <t>АКЫРКЫ 30 КҮНДӨ Сиздин үй чарбаңыз кандайдыр бир башка киреше алдыбы (акчалай которуулардан тышкары)?</t>
  </si>
  <si>
    <t>Какую сумму денег получило Ваше домохозяйство?</t>
  </si>
  <si>
    <t>Сиздин үй чарбаңыз канча суммада акча алды?</t>
  </si>
  <si>
    <t>Has anyone in your household received in or deposited money into a bank account over the PAST 30 DAYS?</t>
  </si>
  <si>
    <t>В течение ПОСЛЕДНИХ 30-ТИ ДНЕЙ кто-либо из вашей семьи получил или положил деньги на банковский счет?</t>
  </si>
  <si>
    <t>АКЫРКЫ 30 КҮНДӨ үй-бүлөңүздүн ичинен кимдир бирөө банк эсебинен акча алдыбы же салдыбы?</t>
  </si>
  <si>
    <t>Given your financial commitments, were you able to save some money for the future over the PAST 30 DAYS?</t>
  </si>
  <si>
    <t>Принимая во внимание ваши финансовые обязательства, в течение ПОСЛЕДНИХ 30 ДНЕЙ смогли ли вы сэкономить деньги на будущее?</t>
  </si>
  <si>
    <t>Сиздин финансылык милдеттенмеңизди эске алуу менен, АКЫРКЫ 30 КҮН ичинде сиз келечекке акча үнөмдөй алдыңызбы?</t>
  </si>
  <si>
    <t>How much were you able to save in the PAST 30 DAYS?</t>
  </si>
  <si>
    <t>За ПОСЛЕДНИЕ 30 ДНЕЙ, какую сумму денег Вы смогли сберечь?</t>
  </si>
  <si>
    <t>АКЫРКЫ 30 КҮНДӨ Сиз канча суммада акчаны топтой алдыңыз?</t>
  </si>
  <si>
    <t>select_one SAVINGS</t>
  </si>
  <si>
    <t>In what form was this money saved?</t>
  </si>
  <si>
    <t>В какой форме было сбережение?</t>
  </si>
  <si>
    <t>Аманаттар кандай формада болгон?</t>
  </si>
  <si>
    <t>SAVINGS</t>
  </si>
  <si>
    <t xml:space="preserve">Saving account at the bank </t>
  </si>
  <si>
    <t xml:space="preserve">Time depositi at the bank </t>
  </si>
  <si>
    <t xml:space="preserve">Saving account at microfinance </t>
  </si>
  <si>
    <t xml:space="preserve">Time deposit at microfinance </t>
  </si>
  <si>
    <t xml:space="preserve">In cash at home </t>
  </si>
  <si>
    <t xml:space="preserve">With group savings/rosca </t>
  </si>
  <si>
    <t xml:space="preserve">In investments (e.g. stock) </t>
  </si>
  <si>
    <t xml:space="preserve">На сберегательном счету в банке </t>
  </si>
  <si>
    <t xml:space="preserve">Сберегательный счёт в микрофинансовом учреждении </t>
  </si>
  <si>
    <t xml:space="preserve">Временный депозит в микрофинансовом учреждении </t>
  </si>
  <si>
    <t xml:space="preserve">В наличных дома </t>
  </si>
  <si>
    <t xml:space="preserve">Чёрная касса </t>
  </si>
  <si>
    <t xml:space="preserve">В инвестициях (ценные бумаги) </t>
  </si>
  <si>
    <t>sv4z</t>
  </si>
  <si>
    <t>Does anyone in your household have a plastic payment/bank card (Elcart)?</t>
  </si>
  <si>
    <t>У кого-нибудь из членов Вашего домохозйства есть банковская пластиковая карта (Элкарт)?</t>
  </si>
  <si>
    <t>Сиздин үй чарбаңыздын мүчөлөрүнүн ичинен кимдир бирөөнүн банктык пластик картасы барбы (Элкарт)?</t>
  </si>
  <si>
    <t>If yes, have your or any household member received money on the bank card in the PAST 30 DAYS?</t>
  </si>
  <si>
    <t>Получал ли Вы или кто-либо из членов Вашего домохозйства деньги на карту за ПОСЛЕДНИЕ 30 ДНЕЙ?</t>
  </si>
  <si>
    <t>Сиздин үй чарбаңыздын мүчөлөрүнүн ичинен кимдир бирөө АКЫРКЫ 30 КҮНДӨ картага акча алдыбы?</t>
  </si>
  <si>
    <t>If yes, have your or any household member used your bank card to make a purchase in the PAST 30 DAYS?</t>
  </si>
  <si>
    <t>Использовали ли Вы или кто-либо из членов домохозяйства при покупках пластиковую карту за ПОСЛЕДНИЕ 30 ДНЕЙ?</t>
  </si>
  <si>
    <t>Сиздин үй чарбаңыздын мүчөлөрүнүн ичинен кимдир бирөө АКЫРКЫ 30 КҮНДӨ соода кылууда пластик картаны пайдаландыбы?</t>
  </si>
  <si>
    <t>Have you or your household member participated in the last local elections (2021)?</t>
  </si>
  <si>
    <t>Участвовали ли вы или ваш член семьи в последних выборах в местные кенеши (2021 года)?</t>
  </si>
  <si>
    <t>Сиз же үй-бүлөңүздүн мүчөсү жергиликтүү кеңешке акыркы шайлоого (2021-жылы) катыштыбы?</t>
  </si>
  <si>
    <t>Which household members?</t>
  </si>
  <si>
    <t>Кто из членов семьи?</t>
  </si>
  <si>
    <t>Үй-бүлө мүчөлөрүнүн кимиси?</t>
  </si>
  <si>
    <t>el2_</t>
  </si>
  <si>
    <t>If no one from your household participated, did someone represent your household in these elections (e.g. representative of the street? A representative of a multi-storey building?</t>
  </si>
  <si>
    <t>Если никто из вашего домохозяйства не участвовал, представлял ли кто-либо ваше домохозяйства на этих выборах (например, представитель улицы? Представитель многоэтажного здания?)</t>
  </si>
  <si>
    <t>Эгерде сиздин үй чарбаңызда эч ким катышпаса, үй чарбаңыздан кимдир бирөө бул шайлоодо өкүлдөгөнбү (мисалы, көчөнүн өкүлү? Көп абаттуу имараттын өкүлү?)</t>
  </si>
  <si>
    <t>select_one TRUST_SCALE</t>
  </si>
  <si>
    <t>If yes, on a scale from 1 to 5, where 1 is the lowest and 5 is the highest, to which extend do you think this person is trusted in your village?</t>
  </si>
  <si>
    <t xml:space="preserve">Если да, по шкале от 1 до 5, где 1- нименьший и 5 – наибольший, в какой степени вы думаете, этому человеку доверяют в вашем селе? </t>
  </si>
  <si>
    <t xml:space="preserve">Эгерде ооба болсо, 1 ден 5 ке чейин (1- абдан аз, 5- абдан коп) бул адамга айылыңызда канчалык деңгээлде ишенет деп ойлойсуз? </t>
  </si>
  <si>
    <t>TRUST_SCALE</t>
  </si>
  <si>
    <t>COVID_SOURCE</t>
  </si>
  <si>
    <t>COVID_CONCERNED</t>
  </si>
  <si>
    <t>COVID_CHANGE</t>
  </si>
  <si>
    <t>Fewer handshakes / kissing/greetings</t>
  </si>
  <si>
    <t>AMOUNT_MONEY</t>
  </si>
  <si>
    <t>CHANGE_MONEY</t>
  </si>
  <si>
    <t>CV_TOCOVER</t>
  </si>
  <si>
    <t>Transfers from other individuals in KR</t>
  </si>
  <si>
    <t>Transfers from other individuals outside KR</t>
  </si>
  <si>
    <t>Переводы от других лиц в КР</t>
  </si>
  <si>
    <t>Переводы от других лиц за пределами КР</t>
  </si>
  <si>
    <t>HOW_YOU_RATE</t>
  </si>
  <si>
    <t xml:space="preserve">Excellent </t>
  </si>
  <si>
    <t xml:space="preserve">Very good </t>
  </si>
  <si>
    <t xml:space="preserve">Good </t>
  </si>
  <si>
    <t xml:space="preserve">Fair </t>
  </si>
  <si>
    <t xml:space="preserve">Poor </t>
  </si>
  <si>
    <t xml:space="preserve">Refuse </t>
  </si>
  <si>
    <t xml:space="preserve">Отлично </t>
  </si>
  <si>
    <t xml:space="preserve">Очень хорошо </t>
  </si>
  <si>
    <t xml:space="preserve">Хорошо </t>
  </si>
  <si>
    <t xml:space="preserve">Удовлетворительно </t>
  </si>
  <si>
    <t xml:space="preserve">Плохо </t>
  </si>
  <si>
    <t xml:space="preserve">Отказываюсь отвечать </t>
  </si>
  <si>
    <t>HOW_OFTEN</t>
  </si>
  <si>
    <t xml:space="preserve">Extremely often </t>
  </si>
  <si>
    <t xml:space="preserve">Very often </t>
  </si>
  <si>
    <t xml:space="preserve">Not so often </t>
  </si>
  <si>
    <t xml:space="preserve">Not at all often </t>
  </si>
  <si>
    <t xml:space="preserve">Постоянно </t>
  </si>
  <si>
    <t xml:space="preserve">Довольно часто </t>
  </si>
  <si>
    <t xml:space="preserve">Не так часто </t>
  </si>
  <si>
    <t xml:space="preserve">Редко </t>
  </si>
  <si>
    <t>BIGGEST_CHALLENGE</t>
  </si>
  <si>
    <t>Coronavirus concern</t>
  </si>
  <si>
    <t>Economic difficulties</t>
  </si>
  <si>
    <t xml:space="preserve">All of the above </t>
  </si>
  <si>
    <t xml:space="preserve">None </t>
  </si>
  <si>
    <t xml:space="preserve">Скука </t>
  </si>
  <si>
    <t xml:space="preserve">Беспокойство о коронавирусе </t>
  </si>
  <si>
    <t xml:space="preserve">Трудности с интернетом </t>
  </si>
  <si>
    <t xml:space="preserve">Трата слишком много времени на интернет </t>
  </si>
  <si>
    <t xml:space="preserve">Экономические трудности </t>
  </si>
  <si>
    <t xml:space="preserve">Находиться в дали от семьи и / или друзей </t>
  </si>
  <si>
    <t xml:space="preserve">Все вышеперечисленное </t>
  </si>
  <si>
    <t xml:space="preserve">Ничего из этого </t>
  </si>
  <si>
    <t>GETTING_INFECTED</t>
  </si>
  <si>
    <t>Extremely unlikely</t>
  </si>
  <si>
    <t>Extremely likely</t>
  </si>
  <si>
    <t>Крайне маловероятно</t>
  </si>
  <si>
    <t>Весьма вероятно</t>
  </si>
  <si>
    <t>HOW_SEVERE</t>
  </si>
  <si>
    <t>Not severe</t>
  </si>
  <si>
    <t>Very severe</t>
  </si>
  <si>
    <t>Не сильно</t>
  </si>
  <si>
    <t>Очень тяжело</t>
  </si>
  <si>
    <t>Оор эмес</t>
  </si>
  <si>
    <t>WOULD_YOU_VACCINE</t>
  </si>
  <si>
    <t>VACCINES</t>
  </si>
  <si>
    <t>Sinopharm (Китай)</t>
  </si>
  <si>
    <t>Moderna (США)</t>
  </si>
  <si>
    <t>Pfizer (США)</t>
  </si>
  <si>
    <t>Любой доступный</t>
  </si>
  <si>
    <t>Другие</t>
  </si>
  <si>
    <t>WILL_NOT_GET_VACCINE</t>
  </si>
  <si>
    <t>COVID_INFO_SOURCE</t>
  </si>
  <si>
    <t xml:space="preserve">Гезиттер </t>
  </si>
  <si>
    <t xml:space="preserve">Медицина кызматкерлери </t>
  </si>
  <si>
    <t xml:space="preserve">Социалдык медиа </t>
  </si>
  <si>
    <t xml:space="preserve">Саламаттык сактоо министрлиги </t>
  </si>
  <si>
    <t xml:space="preserve">COVID-19 тынымсыз байланышы </t>
  </si>
  <si>
    <t>Диний лидерлер</t>
  </si>
  <si>
    <t>Социалдык тармактардагы белгилүү жана таасирдүү адамдар</t>
  </si>
  <si>
    <t xml:space="preserve">Дүйнөлүк саламаттык сактоо уюму (ДСУ) </t>
  </si>
  <si>
    <t>HOW_EASY</t>
  </si>
  <si>
    <t>select_one COVID_CONCERNED</t>
  </si>
  <si>
    <t>How concerned are you today about the potential effects of COVID-19 on the health of you and your family?</t>
  </si>
  <si>
    <t>Насколько вы обеспокоены сегодня потенциальным воздействием COVID-19 на ваше здоровье и вашей семьи?</t>
  </si>
  <si>
    <t>How concerned are you today about the potential effects of COVID-19 on the economic wellbeing of you and your family?</t>
  </si>
  <si>
    <t>Насколько вы обеспокоены сегодня потенциальным воздействием COVID-19 на экономическое благополучие вас и вашей семьи?</t>
  </si>
  <si>
    <t>Could your household currently pay an emergency expense of 850 Som, using cash, savings or other resources you have on-hand?</t>
  </si>
  <si>
    <t>Может ли ваша семья в настоящее время оплатить расходы на неотложные нужды в размере 850 сомов, используя наличные, сбережения или другие имеющиеся у вас ресурсы?</t>
  </si>
  <si>
    <t>Азыркы убакта үй-бүлөңүз накталай акчаны, аманатты же башка сизде болгон ресурстарды пайдаланып, 850 сом өлчөмүндө шашылыш муктаждыкка чыгымдарды төлөй алабы?</t>
  </si>
  <si>
    <t>select_multiple CV_TOCOVER</t>
  </si>
  <si>
    <t>If your family income suddenly decreased or you had no source of income, what would you do to cover expenditures?</t>
  </si>
  <si>
    <t>Если бы доход вашей семьи внезапно уменьшился или у вас отсутствовал источника дохода, что бы вы сделали для покрытия расходов?</t>
  </si>
  <si>
    <t>Эгерде сиздин үй-бүлөңүздүн кирешеси кокустан азайса же сизде киреше булагы жок болсо, чыгымдарды жабуу үчүн эмне кылат элеңиз?</t>
  </si>
  <si>
    <t>select_one HOW_YOU_RATE</t>
  </si>
  <si>
    <t>Overall, how would you rate your mental health</t>
  </si>
  <si>
    <t>В целом, как бы вы оценили ваше психическое здоровье?</t>
  </si>
  <si>
    <t>Жалпысынан психикалык саламаттыгыңызды кандай баалайт элеңиз?</t>
  </si>
  <si>
    <t>select_one HOW_OFTEN</t>
  </si>
  <si>
    <t>During the LAST 14 DAYS how often have you felt sad or depressed</t>
  </si>
  <si>
    <t>За ПОСЛЕДНИЕ 14 ДНЕЙ как часто вы испытывали грусть или депрессию?</t>
  </si>
  <si>
    <t>АКЫРКЫ 14 КҮНДӨ сиз канчалык көп кайгыны же депрессияны сездиңиз?</t>
  </si>
  <si>
    <t>During the LAST 14 DAYS how often has your mental health interfered with your personal relationships?</t>
  </si>
  <si>
    <t>За ПОСЛЕДНИЕ 14 ДНЕЙ как часто ваше психическое здоровье мешало вашим личным отношениям?</t>
  </si>
  <si>
    <t>During the LAST 14 DAYS how often has your mental health interfered with your ability to get work done or accomplish tasks?</t>
  </si>
  <si>
    <t>За ПОСЛЕДНИЕ 14 ДНЕЙ как часто ваше психическое здоровье мешало вам выполнять работу или выполнять задачи?</t>
  </si>
  <si>
    <t>АКЫРКЫ 14 КҮНДӨ сиздин психикалык саламаттыгыңыз ишти аткарууга же милдеттерди аткарууга канчалык тезден тоскоолдук кылды?</t>
  </si>
  <si>
    <t>select_one GETTING_INFECTED</t>
  </si>
  <si>
    <t>What do you consider to be your own probability of getting infected with COVID-19?</t>
  </si>
  <si>
    <t>Как вы считаете, какова ваша собственная вероятность заразиться COVID-19?</t>
  </si>
  <si>
    <t>Сиздин COVID-19 жуктуруу ыктымалдуулугуңуз канчалык деп эсептейсиз?</t>
  </si>
  <si>
    <t>select_one HOW_SEVERE</t>
  </si>
  <si>
    <t>How severe would contracting COVID-19 be for you (how seriously ill do you think you will be)?</t>
  </si>
  <si>
    <t>Насколько тяжелым было бы для вас заражение COVID-19 (как вы думаете, насколько серьезно вы заболеете)?</t>
  </si>
  <si>
    <t>select_one VACCINES</t>
  </si>
  <si>
    <t>If different COVID-19 vaccines were available today which one would you take?</t>
  </si>
  <si>
    <t>Если бы сегодня были доступны разные вакцины коронавируса, какую бы Вы сделали?</t>
  </si>
  <si>
    <t>Эгерде бүгүн коронавирустун ар кандай вакцинасы жеткиликтүү болсо, сиз кайсынысын жасатат элеңиз?</t>
  </si>
  <si>
    <t>vw_</t>
  </si>
  <si>
    <t>vw_end</t>
  </si>
  <si>
    <t>if(${vw_end}='' , '', once(now()))</t>
  </si>
  <si>
    <t>pp_</t>
  </si>
  <si>
    <t>pp_end</t>
  </si>
  <si>
    <t>if(${pp_end}='' ,'', once(now()))</t>
  </si>
  <si>
    <t>sh_</t>
  </si>
  <si>
    <t>sh_end</t>
  </si>
  <si>
    <t>if(${sh_end}='' ,'', once(now()))</t>
  </si>
  <si>
    <t>liv_</t>
  </si>
  <si>
    <t>liv_end</t>
  </si>
  <si>
    <t>if(${liv_end}='' , '', once(now()))</t>
  </si>
  <si>
    <t>ac_</t>
  </si>
  <si>
    <t>ac_end</t>
  </si>
  <si>
    <t>if(${ac_end}='' , '', once(now()))</t>
  </si>
  <si>
    <t>If yes, has &lt;NAME&gt; done any work for pay profit or gain, even for an hour?</t>
  </si>
  <si>
    <t>Если да, кто из членов семьи &lt;ИМЯ&gt;?</t>
  </si>
  <si>
    <t>If yes, was &lt;NAME&gt; absent from a job or business over the PAST 7 DAYS?</t>
  </si>
  <si>
    <t>Эгер ооба болсо, Үй-бүлө мүчөлөрүнүн ичинен кимиси &lt;АТЫ&gt;?</t>
  </si>
  <si>
    <t>ac9_</t>
  </si>
  <si>
    <t>If yes, has &lt;NAME&gt; lost their job or otherwise stopped working over the PAST 30 DAYS?</t>
  </si>
  <si>
    <t>ac11_</t>
  </si>
  <si>
    <t>Если да, кто из членов семьи &lt;ИМЯ&gt; за ПОСЛЕДНИЕ 30 ДНЕЙ потерял или остановил свою работу?</t>
  </si>
  <si>
    <t>If yes, has &lt;NAME&gt; are currently looking for a job?</t>
  </si>
  <si>
    <t>Если да кто из членов семьи &lt;ИМЯ&gt;   Вашего домохозяйства в данный момент ищут работу?</t>
  </si>
  <si>
    <t>Эгер ооба болсо, Үй-бүлө мүчөлөрүнүн ичинен кимиси &lt;АТЫ&gt;   азыркы учурда жумуш издеп жатат?</t>
  </si>
  <si>
    <t>look_</t>
  </si>
  <si>
    <t>look_hhid</t>
  </si>
  <si>
    <t>look_end</t>
  </si>
  <si>
    <t>if(${look_end}='' , '', once(now()))</t>
  </si>
  <si>
    <t>vw_note</t>
  </si>
  <si>
    <t>select_one LEVELRISE</t>
  </si>
  <si>
    <t>In the PAST 30 DAYS, did prices for the goods and services you buy rise at a typical pace, at a faster than usual pace, or a slower than usual pace?</t>
  </si>
  <si>
    <t>За ПОСЛЕДНИЕ 30 ДНЕЙ цены на товары и услуги, которые вы покупаете, росли обычными темпами, быстрее, чем обычно, или медленнее, чем обычно?</t>
  </si>
  <si>
    <t>АКЫРКЫ 30 КҮНДҮН ичинде сиз сатып алган товарлар менен кызматтардын баасы кадимкидей жогоруладыбы, демейдегиден тезирээк же жайыраакпы?</t>
  </si>
  <si>
    <t>In the NEXT 30 DAYS, will prices for the goods and services you buy rise at a typical pace, at a faster than usual pace, or a slower than usual pace?</t>
  </si>
  <si>
    <t>В СЛЕДУЮЩИЕ 30 ДНЕЙ цены на товары и услуги, которые вы покупаете, будут рости обычным темпом, более быстрыми темпами, чем обычно, или более медленными, чем обычно?</t>
  </si>
  <si>
    <t>КИЙИНКИ 30 КҮНДҮН ичинде сиз сатып алган товарлар менен кызматтардын баасы кадимкидей ылдамдыкта жогорулайбы же адаттагыдан жайыраакпы?</t>
  </si>
  <si>
    <t>vw54</t>
  </si>
  <si>
    <t>select_multiple LIST_GOODS</t>
  </si>
  <si>
    <t>What are the three goods that you often buy for which prices increased the most?</t>
  </si>
  <si>
    <t>Из товаров, которые вы покупаете часто, на какие 3 товара цены поднялись более всего?</t>
  </si>
  <si>
    <t>sv_</t>
  </si>
  <si>
    <t>sv_end</t>
  </si>
  <si>
    <t>if(${sv_end}='' , '', once(now()))</t>
  </si>
  <si>
    <t>LIST_GOODS</t>
  </si>
  <si>
    <t>el_</t>
  </si>
  <si>
    <t>el_end</t>
  </si>
  <si>
    <t>cv_</t>
  </si>
  <si>
    <t>cv_end</t>
  </si>
  <si>
    <t>if(${cv_end}='' , '', once(now()))</t>
  </si>
  <si>
    <t>Nine hundred jobs are at risk at the YGF garment plant in Kyrgyzstan which is facing closure due to reduced demand for the type of products made by the plant.</t>
  </si>
  <si>
    <t>Nine hundred jobs are at risk at the YGF garment plant in Kyrgyzstanstan which is facing closure due to management failures in the plant.</t>
  </si>
  <si>
    <t>Nine hundred jobs are at risk at the YGF garment plant in Uzbekistan which is facing closure due to global competition and the outsourcing of production to another country.</t>
  </si>
  <si>
    <t>Nine hundred jobs are at risk at the YGF garment plant in Kyrgyzstan WHICH IS FACING CLOSURE.</t>
  </si>
  <si>
    <t>На швейной фабрике YGF в Кыргызстане которая закрывается из-за открытия нового завода, который опирается на автоматизацию и другие новые технологии и поэтому требует меньше работников, под риском увольнения оказались девятьсот рабочих мест</t>
  </si>
  <si>
    <t>На швейной фабрике YGF в Кыргызстане которая закрывается из-за снижения спроса на тип продукции, производимой заводом, под риском увольнения оказались девятьсот рабочих мест</t>
  </si>
  <si>
    <t>На швейной фабрике YGF в Кыргызстане которая закрывается из-за сбоев управления на заводе, под риском увольнения оказались девятьсот рабочих мест</t>
  </si>
  <si>
    <t>На швейной фабрике YGF в Кыргызстане которая закрывается из-за глобальной конкуренции и переноса производства в другую страну, под риском увольнения оказались девятьсот рабочих мест</t>
  </si>
  <si>
    <t>Под риском увольнения оказались девятьсот рабочих на швейной фабрике YGF в Кыргызстане, которая закрывается.</t>
  </si>
  <si>
    <t>Эксперты говорят, что около 350 семей села Палончи подвергаются риску этой зимой, поскольку цены на пшеницу и хлеб растут из-за низкой урожайности</t>
  </si>
  <si>
    <t>Эксперты говорят, что около 350 семей села Палончи подвергаются риску этой зимой, поскольку цены на пшеницу и хлеб растут из-за снятия правительственных ценовых ограничений</t>
  </si>
  <si>
    <t>Эксперты говорят, что около 350 семей села Палончи подвергаются риску этой зимой, поскольку цены на пшеницу и хлеб растут из-за управленческих ошибок среди производителей хлеба</t>
  </si>
  <si>
    <t>Эксперты говорят, что около 350 семей села Палончи подвергаются риску этой зимой, поскольку цены на пшеницу и хлеб растут из-за возросшего спроса на узбекскую продукцию за рубежом</t>
  </si>
  <si>
    <t>Эксперты говорят, что этой зимой в села Палонча под риском находятся около 350 семей, так как цены на пшеницу и хлеб растут.</t>
  </si>
  <si>
    <t>Experts say about 350 families are at risk in Ochlik ayil this winter as prices of wheat and bread rise.</t>
  </si>
  <si>
    <t>Experts say about 350 families are at risk in Ochlik ayil this winter as prices of wheat and bread rise due to low farm yeilds.</t>
  </si>
  <si>
    <t>Experts say about 350 families are at risk in Ochlik ayil this winter as prices of wheat and bread rise due to removal of government price restrictions.</t>
  </si>
  <si>
    <t>Experts say about 350 families are at risk in Ochlik ayil this winter as prices of wheat and bread rise due to management failures among bread producers.</t>
  </si>
  <si>
    <t>Experts say about 350 families are at risk in Ochlik ayil this winter as prices of wheat and bread rise due to increased demand for Kyrgyz products overseas.</t>
  </si>
  <si>
    <t>Эксперттер Палончи айылынын 350 үй-бүлөсү бул кышта тобокелдикке кабыла турганын, анткени түшүмдүн төмөн болушунан улам буудайга жана нанга баалар өсүп жатканын айтышууда</t>
  </si>
  <si>
    <t>Эксперттер Палончи айылынын 350 үй-бүлөсү бул кышта тобокелдикке кабыла турганын, анткени өкмөттүк баа чектөөлөрүн алып салуудан улам буудайга жана нанга баалар өсүп жатканын айтышууда</t>
  </si>
  <si>
    <t>Эксперттер Палончи айылынын 350 үй-бүлөсү бул кышта тобокелдикке кабыла турганын, анткени нан өндүрүүчүлөр арасындагы башкаруучулук катадан улам буудайга жана нанга баалар өсүп жатканын айтышууда</t>
  </si>
  <si>
    <t>Эксперттер Палончи айылынын 350 үй-бүлөсү бул кышта тобокелдикке кабыла турганын, анткени чет өлкөдө өзбек өндүрүмүнө суроо-талаптын өсүшүнөн улам буудайга жана нанга баалар өсүп жатканын айтышууда</t>
  </si>
  <si>
    <t>Эксперттер Палончи айылынын 350 үй-бүлөсү бул кышта тобокелдикке кабыла турганын, анткени буудайга жана нанга баалар өсүп жатканын айтышууда.</t>
  </si>
  <si>
    <t>The price of electricity is expected to rise by four percent next month due to the electricity supplier's increased costs.</t>
  </si>
  <si>
    <t>The price of electricity is expected to rise by four percent next month due to removal of subsidies.</t>
  </si>
  <si>
    <t>The price of electricity is expected to rise by four percent next month due to management failures in the electricity supplier.</t>
  </si>
  <si>
    <t>The price of electricity is expected to rise by four percent next month due to removal of subsidies that disproportionally benefit high-income families.</t>
  </si>
  <si>
    <t>The price of electricity is expected to rise by four percent next month.</t>
  </si>
  <si>
    <t>Ожидается, что цена на электроэнергию вырастет на четыре процента в следующем месяце из-за увеличенных затрат поставщика электроэнергии.</t>
  </si>
  <si>
    <t>Ожидается, что цена на электроэнергию вырастет на четыре процента в следующем месяце из-за отмены субсидий.</t>
  </si>
  <si>
    <t>Ожидается, что цена на электроэнергию вырастет на четыре процента в следующем месяце из-за сбоев в управлении поставщиком электроэнергии.</t>
  </si>
  <si>
    <t>Ожидается, что цена на электроэнергию вырастет на четыре процента в следующем месяце из-за отмены субсидий, которые несоразмерно выгодны семьям с высоким доходом.</t>
  </si>
  <si>
    <t>Ожидается, что цена на электроэнергию вырастет на четыре процента в следующем месяце.</t>
  </si>
  <si>
    <t xml:space="preserve"> Электр энергиясын жектирүүчүнүн чыгымдарынын көбөйүшүнөн улам кийинки айда электр энергиясына баа төрт пайызга өсө турганы күтүлүп жатат.</t>
  </si>
  <si>
    <t>Субсдияларды токтотуудан улам кийинки айда электр энергиясына баа төрт пайызга өсө турганы күтүлүп жатат.</t>
  </si>
  <si>
    <t>Электр энергиясын жектирүүчүнү башкаруудагы үзгүлтүктөрдөн улам кийинки айда электр энергиясына баа төрт пайызга өсө турганы күтүлүп жатат.</t>
  </si>
  <si>
    <t>Кирешеси жогору болгон үй-бүлөлөр үчүн ченемдеш эмес пайдалуу болгон субсидияларды токтотуудан улам кийинки айда электр энергиясына баа төрт пайызга өсө турганы күтүлүп жатат.</t>
  </si>
  <si>
    <t>Кийинки айда электр энергиясына баа төрт пайызга өсө турганы күтүлүп жатат.</t>
  </si>
  <si>
    <t xml:space="preserve">Электр энергиясын көп колдонгон адамдар үчүн баанын көтөрүлүшүнө жол берип, көпчүлүккө бир аз электр энергиясына бааны төмөн кармоо керек          </t>
  </si>
  <si>
    <t xml:space="preserve">Электр энергиясын өндүрүүчүлөргө дотация берүү                               </t>
  </si>
  <si>
    <t>The number of international migrants leaving for Russia is expected to increase by four percent this year due to lack of local employment opportunities.</t>
  </si>
  <si>
    <t>The number of international migrants leaving for Russia is expected to increase by four percent this year due to higher wages available in Russia.</t>
  </si>
  <si>
    <t>The number of international migrants leaving for Russia is expected to increase by four percent this year due to reduction in visa requirements.</t>
  </si>
  <si>
    <t xml:space="preserve"> The number of international migrants leaving for Russia is expected to increase by four percent this year due to changes to government restrictions on migration.</t>
  </si>
  <si>
    <t>The number of international migrants leaving for Russia is expected to increase by four percent this year.</t>
  </si>
  <si>
    <t>Ожидается, что число трудовых мигрантов, отправляющихся в Россию, увеличится на четыре процента в этом году из-за отсутствия работы в Кыргызстане.</t>
  </si>
  <si>
    <t>Ожидается, что число трудовых мигрантов, отправляющихся в Россию, увеличится на четыре процента в этом году из-за более высокой заработной платы в России.</t>
  </si>
  <si>
    <t>Ожидается, что число трудовых мигрантов, отправляющихся в Россию, увеличится на четыре процента в этом году из-за снижения визовых требований.</t>
  </si>
  <si>
    <t>Ожидается, что число трудовых мигрантов, отправляющихся в Россию, увеличится на четыре процента в этом году из-за изменений в правительственных ограничениях на миграцию.</t>
  </si>
  <si>
    <t>Ожидается, что число трудовых мигрантов, выезжающих в Россию, увеличится на четыре процента в этом году.</t>
  </si>
  <si>
    <t>Кыргызстанда жумуш жоктугунан улам быйыл Россияга кетип жаткан эмгек мигранттарынын саны төрт пайызга көбөйө турганы күтүлүп жатат.</t>
  </si>
  <si>
    <t>Россиядагы жогорку эмгек акыдан улам быйыл Россияга кетип жаткан эмгек мигранттарынын саны төрт пайызга көбөйө турганы күтүлүп жатат.</t>
  </si>
  <si>
    <t>Виза талаптарынын азайышынан улам быйыл Россияга кетип жаткан эмгек мигранттарынын саны төрт пайызга көбөйө турганы күтүлүп жатат.</t>
  </si>
  <si>
    <t>Миграцияны өкмөттүк чектөөлөрдөгү өзгөртүүлөрдөн улам быйыл Россияга кетип жаткан эмгек мигранттарынын саны төрт пайызга көбөйө турганы күтүлүп жатат</t>
  </si>
  <si>
    <t>Быйыл Россияга кетип жаткан эмгек мигранттарынын саны төрт пайызга көбөйө турганы күтүлүп жатат.</t>
  </si>
  <si>
    <t>GREEN AGENDA</t>
  </si>
  <si>
    <t>ЗЕЛЕНАЯ ЭКОНОМИКА</t>
  </si>
  <si>
    <t>ЖАШЫЛ ЭКОНОМИКА</t>
  </si>
  <si>
    <t>select_one ASSESS1_10</t>
  </si>
  <si>
    <t>How serious a problem do you think climate change is for the world at this moment? Please use a scale from 1 to 10, with '1' meaning it is "not at all a serious problem" and '10' meaning it is "an extremely serious problem"</t>
  </si>
  <si>
    <t>Насколько серьезной проблемой, по вашему мнению, является изменение климата для мира в настоящий момент? Используйте шкалу от 1 до 10, где «1» означает «совсем не серьезная проблема», а «10» означает «чрезвычайно серьезная проблема».</t>
  </si>
  <si>
    <t>Please tell me whether you fully agree, mostly agree, mostly disagree, or fully disagree with the following &lt;STATEMENTS&gt;:</t>
  </si>
  <si>
    <t>Скажите, пожалуйста, полностью ли вы согласны, согласны, не согласны или полностью не согласны со следующими утверждениями:</t>
  </si>
  <si>
    <t>Сураныч, айтсаңыз, төмөндөгү билдирүүлөргө макулсузбу, макул эмессизби же толук макул эмессизби:</t>
  </si>
  <si>
    <t>&lt;STATEMENTS&gt;</t>
  </si>
  <si>
    <t>&lt;ЗАЯВЛЕНИЯ&gt;</t>
  </si>
  <si>
    <t>&lt;АРЫЗ&gt;</t>
  </si>
  <si>
    <t xml:space="preserve">а. «Больше государственной финансовой поддержки должно быть предоставлено тем, кто ​​переходит на чистые источники энергии, даже если это означает сокращение субсидий на ископаемое топливо» </t>
  </si>
  <si>
    <t>b. “The national government should set ambitious targets to increase the amount of renewable energy used, such as wind or solar power, by 2030”</t>
  </si>
  <si>
    <t>c. “Air pollution is a serious health concern for me and my family”</t>
  </si>
  <si>
    <t>в. «Загрязнение воздуха - серьезная проблема для меня и моей семьи»</t>
  </si>
  <si>
    <t>d.  “I believe my local community is well prepared to respond to natural disasters such as floods, or landslides”</t>
  </si>
  <si>
    <t>г. «Я считаю, что моя местная община хорошо подготовлена ​​к реагированию на стихийные бедствия, такие как наводнения или оползни»</t>
  </si>
  <si>
    <t>e. “We should reduce greenhouse gas emissions to a minimum while offsetting the remaining emissions, for instance by increasing forested areas, to make [country] climate neutral by 2050.”</t>
  </si>
  <si>
    <t>д. «Мы должны сократить выбросы парниковых газов до минимума, компенсируя оставшиеся выбросы, например, за счет увеличения площади лесных массивов, чтобы сделать Кыргызстан климатически нейтральным к 2050 году».</t>
  </si>
  <si>
    <t>е. Правительству следует ввести более высокие налоги на деятельность, загрязняющую окружающую среду, даже если это приведет к увеличению стоимости некоторых товаров и услуг.</t>
  </si>
  <si>
    <t>If the government were to impose higher taxes on polluting activities in Kyrgyzstan, how should the revenue be used?</t>
  </si>
  <si>
    <t>Если правительство введет более высокие налоги на загрязняющую деятельность в Кыргызстане, как следует использовать полученные доходы?</t>
  </si>
  <si>
    <t>Next Survey Schedule and Phone Numbers Update</t>
  </si>
  <si>
    <t>Thank you for participation in the survey! Our next survey with you is scheduled in a month, on  _${next_call}_. In case if we can not reach you by this number, could you give us another phone number(s) of you, or your household member?</t>
  </si>
  <si>
    <t>Спасибо за участие в опросе! Наш следующий опрос с вами запланирован ровно через месяц,  _${next_call}_, на случай если мы не сможем связаться по данному номеру, можете дать нам дополнительные номера для контакта, ваш или других членов вашего хозяйства?</t>
  </si>
  <si>
    <t>Сурамжылоого катышканыңызга ыракмат! Сиз менен кийинки сурамжылоо туура бир айдан кийин, _${next_call}_, белгиленген, биз бул номер менен байланыша албай калсак, байланышуу үчүн, сиздин же сиздин үй чарбаңыздын башка мүчөлөрүнүн кошумча номерин берсеңиз болот?</t>
  </si>
  <si>
    <t>select_one HH_ADULT</t>
  </si>
  <si>
    <t>Whose number?</t>
  </si>
  <si>
    <t>Чей номер?</t>
  </si>
  <si>
    <t>Кимдин номери</t>
  </si>
  <si>
    <t>Phone number</t>
  </si>
  <si>
    <t>Номер телефона</t>
  </si>
  <si>
    <t>Телефон номери</t>
  </si>
  <si>
    <t>What phone number to transfer money? (Leave blank if the same number you called.)</t>
  </si>
  <si>
    <t>На какой номер телефона зачислить деньги? (Оставьте пустым, если тот же номер, на который дозвонились.)</t>
  </si>
  <si>
    <t>Акчаны кайсы номерге которуу керек? (Чалган эле номер болсо, бош калтырыңыз)</t>
  </si>
  <si>
    <t>select_one SURVEY_LANG</t>
  </si>
  <si>
    <t>Survey language?</t>
  </si>
  <si>
    <t>На каком языке проводился опрос?</t>
  </si>
  <si>
    <t>Сурамжылоо кайсы тилде өткөрүлдү?</t>
  </si>
  <si>
    <t>select_one LIKERT_WIDGET</t>
  </si>
  <si>
    <t>NONET_REASON</t>
  </si>
  <si>
    <t>NET_DEVICE</t>
  </si>
  <si>
    <t>NET_PURPOSE</t>
  </si>
  <si>
    <t>NET_LIMIT</t>
  </si>
  <si>
    <t>Больше не разрешено использовать (семья, супруг, родители)</t>
  </si>
  <si>
    <t>ASSESS1_10</t>
  </si>
  <si>
    <t>Not at all a serious problem</t>
  </si>
  <si>
    <t>Вообще не серьезная проблема</t>
  </si>
  <si>
    <t>Таптакыр көйгөйлүү эмес</t>
  </si>
  <si>
    <t>An extremely serious problem</t>
  </si>
  <si>
    <t>Очень серьезная проблема</t>
  </si>
  <si>
    <t>Абдан көйгөйлүү</t>
  </si>
  <si>
    <t>SURVEY_LANG</t>
  </si>
  <si>
    <t>LIKERT_WIDGET</t>
  </si>
  <si>
    <t>ga2a</t>
  </si>
  <si>
    <t>ga2b</t>
  </si>
  <si>
    <t>Please rate the respondent's attitude to this survey.</t>
  </si>
  <si>
    <t>Пожалуйста оцените отношение респондента к этому опросу</t>
  </si>
  <si>
    <t>RANDREASON1</t>
  </si>
  <si>
    <t>RANDREASON2</t>
  </si>
  <si>
    <t>RANDREASON3</t>
  </si>
  <si>
    <t>RANDREASON4</t>
  </si>
  <si>
    <t>RESPONSE1</t>
  </si>
  <si>
    <t>RESPONSE2</t>
  </si>
  <si>
    <t>RESPONSE3</t>
  </si>
  <si>
    <t>RESPONSE4</t>
  </si>
  <si>
    <t>Автоматташтырууга жана башка жаңы технологияларга таянган жаңы заводду ачуудан улам жана ошондуктан азыраак жумушчуларды талап кылгандыктан, Кыргызстандагы жабылып жаткан YGF тигүү фабрикасында тогуз жүз жумуш орун иштен бшотуу тобокелдигине кабылды</t>
  </si>
  <si>
    <t>Завод өндүргөн өндүрүмдүн түрүнө суроо-талаптын азайышынан улам, Кыргызстандагы жабылып жаткан YGF тигүү фабрикасында тогуз жүз жумуш орун иштен бшотуу тобокелдигине кабылды</t>
  </si>
  <si>
    <t>Заводдогу башкаруунун үзгүлтүк болушунан улам Кыргызстандагы жабылып жаткан YGF тигүү фабрикасында тогуз жүз жумуш орун иштен бшотуу тобокелдигине кабылды</t>
  </si>
  <si>
    <t>Глобалдык атаандаштыктан жана өндүрүштү башка өлкөгө көчүрүүдөн улам Кыргызстандагы жабылып жаткан YGF тигүү фабрикасында тогуз жүз жумуш орду иштен бошотуу тобокелдигине кабылды</t>
  </si>
  <si>
    <t>Кыргызстандагы жабылып жаткан YGF тигүү фабрикасында тогуз жүз жумушчу иштен бошотуу тобокелдигине кабылышты.</t>
  </si>
  <si>
    <t>Nine hundred jobs are at risk at the YGF garment plant in Kyrgyzstan which is facing closure due to investment in automation and other new technologies.</t>
  </si>
  <si>
    <t>HH_ADULT</t>
  </si>
  <si>
    <t>ga2c</t>
  </si>
  <si>
    <t>ga2d</t>
  </si>
  <si>
    <t>ga2e</t>
  </si>
  <si>
    <t>ga2f</t>
  </si>
  <si>
    <t>time_ga</t>
  </si>
  <si>
    <t>selected(${inc4_},'96')</t>
  </si>
  <si>
    <t>mg2_</t>
  </si>
  <si>
    <t>count-selected(${mg2_})</t>
  </si>
  <si>
    <t>selected-at(${mg2_}, position(..)-1)</t>
  </si>
  <si>
    <t>mg7_</t>
  </si>
  <si>
    <t>count-selected(${mg7_})</t>
  </si>
  <si>
    <t>selected-at(${mg7_}, position(..)-1)</t>
  </si>
  <si>
    <t>mg11_</t>
  </si>
  <si>
    <t>count-selected(${mg11_})</t>
  </si>
  <si>
    <t>selected-at(${mg11_}, position(..)-1)</t>
  </si>
  <si>
    <t>ac2_</t>
  </si>
  <si>
    <t>count-selected(${ac2_})</t>
  </si>
  <si>
    <t>selected-at(${ac2_}, position(..)-1)</t>
  </si>
  <si>
    <t>ac13_</t>
  </si>
  <si>
    <t>count-selected(${ac13_})</t>
  </si>
  <si>
    <t>selected-at(${ac13_}, position(..)-1)</t>
  </si>
  <si>
    <t xml:space="preserve">Old roster </t>
  </si>
  <si>
    <t>Оператор: Сураныч, үй чарбасынын ID-номерин текшериңиз __&lt;span style="color:red"&gt;${hhid}&lt;/span&gt;__</t>
  </si>
  <si>
    <t>Greetings! My name is___________. I work for Zerkalo CA. At the moment, we are conducting a study on the topic "Study of the socio-economic state of households" in Kyrgyzstan. This survey will run for 12 round and every round we will send to your telephone ___credit within several days. We will call you every 30 days after the completed interview. We guarantee confidentiality and anonymity. Your answers will be used in general form. The interview will approximately last 30-40 min.</t>
  </si>
  <si>
    <t>Пожалуйста, спросите имя респондента</t>
  </si>
  <si>
    <t>Сураныч, респонденттин атын сураңыз</t>
  </si>
  <si>
    <t>сурабаңыз</t>
  </si>
  <si>
    <t>Сураныч, айтсаңыз,  _${fmidname}_эмне себептен үй чарбадан кетти</t>
  </si>
  <si>
    <t>Сураныч, _${fmidname}_туулган күнүн көрсөтүңүз</t>
  </si>
  <si>
    <t>Жөн гана демейки жоопту колдон! Бош калтырбаңыз!</t>
  </si>
  <si>
    <t>КЕЧЭЭ үйүңүздө канча саат электр энергиясы болду?</t>
  </si>
  <si>
    <t>Мурдагы КҮНҮ ҮЙҮҢҮЗГӨ канча саат электр энергиясы берилген?</t>
  </si>
  <si>
    <t>Үй чарбаңызда электр энергиясы үчүн акыркы төлөм канча болгон?</t>
  </si>
  <si>
    <t>ШОК секциясынын аягы</t>
  </si>
  <si>
    <t>Жөн гана демейки жоопту колдон! Бош калтырбаңыз</t>
  </si>
  <si>
    <t>Эгерде ӨТКӨН 30 КҮНДӨГҮ үй чарбаңыздын финансылык абалын салыштырсак, ал кандай болуп калды_____?</t>
  </si>
  <si>
    <t>АКЫРКЫ 30 КҮНДӨ үй чарбаңыз күнүмдүк чыгымдарды жабуу үчүн карызга акча алганбы?</t>
  </si>
  <si>
    <t>За ПОСЛЕДНИЕ 30 ДНЕЙ, сократило ли Ваше домохозяйство употребление продуктов питания для покрытия ежедневных расходов?</t>
  </si>
  <si>
    <t xml:space="preserve">АКЫРКЫ 30 КҮНДӨ акчанын же башка ресурстардын тартыштыгынан улам Сиз туура жана тоюмдуу тамак жебеген жок дегенде бир учур болду беле?  </t>
  </si>
  <si>
    <t>АКЫРКЫ 30 КҮНДӨ акчанын же башка ресурстардын тартыштыгынан улам Сиз тамак жебеген  бир учур болду беле?</t>
  </si>
  <si>
    <t>За ПОСЛЕДНИЕ 30 ДНЕЙ  был ли хоть один случай, когда Вы пропускали прием пищи   из-за недостатка денег или других ресурсов?</t>
  </si>
  <si>
    <t>Бакубаттуулук бөлүмүнүн аягы</t>
  </si>
  <si>
    <t>Жөн гана демейки жоопту колдоңуз! Бош калтырбаңыз!</t>
  </si>
  <si>
    <t>Азыркы учурда Кыргызстанда жашаган, 15 жаштан жогорку Сиздин үй чарбаңыздын ичинен кимдир бирөө башка өлкөгө иштегени кетүүнү пландоодобу?</t>
  </si>
  <si>
    <t>Эмгек миграцияга кетүүнү пландоодо</t>
  </si>
  <si>
    <t xml:space="preserve"> Миграция - Кайтууга камданууда бөлүмүнүн аягы</t>
  </si>
  <si>
    <t>АКЫРКЫ 30 КҮНДӨ  үй чарбаңыздын ичинен кимдир бирөө башка өлкөдөн эмгек миграциясынан кайтып келдиби?</t>
  </si>
  <si>
    <t>Миграциядан кайтып келди</t>
  </si>
  <si>
    <t xml:space="preserve"> Миграция - Кайтып келди бөлүмүнүн аягы</t>
  </si>
  <si>
    <t>Котормо жасалган валютаны көрсөтүңүз.</t>
  </si>
  <si>
    <t>Миграция - Азыр миграцияда бөлүмүнүн аягы</t>
  </si>
  <si>
    <t>АКЫРКЫ 30 КҮНДӨ Сиздин үй чарбаңыздын мүчөсү болбогон адамдардан канча сумма алдыңыз?</t>
  </si>
  <si>
    <t>Кайсы валютада которулгандыгын көрсөтүңүз</t>
  </si>
  <si>
    <t>Ооба болсо Үй-бүлө мүчөлүрүнүн ичинен кимиси &lt;АТЫ&gt;?</t>
  </si>
  <si>
    <t>Айлык акы, төлөм же киреше алуу үчүн кандайдыр бир жумуш аткарды</t>
  </si>
  <si>
    <t>Жумуштуулук бөлүмүнүн аягы</t>
  </si>
  <si>
    <t xml:space="preserve">Жумуш издейт - Жумуштуулук секциясынын аягы </t>
  </si>
  <si>
    <t>Сиздин үй чарбалыктан азыркы учурда канча адам жумуш издейт?</t>
  </si>
  <si>
    <t>Эмгек ишмердиги бөлүмүнүн аягы</t>
  </si>
  <si>
    <t>Азыр жашаган жеримде  жумуш табуу үчүн эң ыңгайлуу убакыт.</t>
  </si>
  <si>
    <t>Кыргызстанда аялдар билим алууга, жумуштуулукка жана саламаттык сактоого бирдей мүмкүнчүлүккө ээ</t>
  </si>
  <si>
    <t>Кирешеси жогору болгон адамдар кирешеси төмөн болгон адамдарга караганда электр энергиясына жана газга төмөнкү тарифтерди колдоо үчүн мамлекеттик субсидиялардан көбүрөөк пайда алып жатышканына тынчсызданам.</t>
  </si>
  <si>
    <t>Көз караштар жана ишенимдер бөлүмүнүн аягы</t>
  </si>
  <si>
    <t>Кирешелер бөлүмүнүн аягы</t>
  </si>
  <si>
    <t>Сураныч башканы көрсөтүңүз</t>
  </si>
  <si>
    <t>Аманаттар бөлүмүнүн аягы</t>
  </si>
  <si>
    <t>Шайлоо бөлүмүнүн аягы</t>
  </si>
  <si>
    <t xml:space="preserve"> COVID19 бөлүмүнүн аягы</t>
  </si>
  <si>
    <t>Эгерде Кыргызстанда өкмөт курчап турган чөйрөнү булгаган ишмердүүлүккө жогорку салыктарды киргизсе, алынган кирешени кандай пайдалануу керек?</t>
  </si>
  <si>
    <t>Сиз чалган номер болсо жөн бош калтырыңыз</t>
  </si>
  <si>
    <t>Сураныч, респонденттин туулган ЖЫЛЫН тактаңыз (_${resp_calcyear}_жыл)</t>
  </si>
  <si>
    <t>Конец секции Реестра ДХ.</t>
  </si>
  <si>
    <t>Үй тизмесинин аягы.</t>
  </si>
  <si>
    <t>vw55</t>
  </si>
  <si>
    <t>Moderately serious</t>
  </si>
  <si>
    <t>Very serious</t>
  </si>
  <si>
    <t>Умеренно серьёзная</t>
  </si>
  <si>
    <t>Орточо орчундуу</t>
  </si>
  <si>
    <t>select_one USEOFTAX</t>
  </si>
  <si>
    <t>USEOFTAX</t>
  </si>
  <si>
    <t>To provide help to the poor and other vulnerable people</t>
  </si>
  <si>
    <t>To provide transfers to all citizens equally</t>
  </si>
  <si>
    <t>To lower other taxes on the goods and servises</t>
  </si>
  <si>
    <t>To lower other taxes and contibutions on employment income</t>
  </si>
  <si>
    <t>To invest in green investments and mitigate the effect of climate change</t>
  </si>
  <si>
    <t>To finance pencions for elderly</t>
  </si>
  <si>
    <t>To finance assistense for children</t>
  </si>
  <si>
    <t>Снизить другие налоги на товары и услуги</t>
  </si>
  <si>
    <t>Снизить другие налоги и сборы собираемые с дохода от занятости</t>
  </si>
  <si>
    <t>Оказывать помощь бедным и другим уязвимым группам населения</t>
  </si>
  <si>
    <t>Инвестировать в зеленые инвестиции для смягчения последствий изменения климата</t>
  </si>
  <si>
    <t>Для финансирования пенсий пожилым людям</t>
  </si>
  <si>
    <t>Для финансирования помощи детям</t>
  </si>
  <si>
    <t>Распределять между гражданами в равной степени</t>
  </si>
  <si>
    <t>Кары адамдардын пенсияларына жумшоо</t>
  </si>
  <si>
    <t>Товарларга жана тейлөөгө башка салыктарды төмөндөтүү</t>
  </si>
  <si>
    <t>Жумуштуулуктан чогултулуучу салыктарды жана башка төлөмдөрдү төмөндөтүү</t>
  </si>
  <si>
    <t>Жакыр жана башка аярлуу катмарларга жардам көрсөтүү</t>
  </si>
  <si>
    <t>Климаттын өзгөрүүсүн азайтуу үчүн жашыл инвестицияларды колдоо</t>
  </si>
  <si>
    <t>Балдарга жардам көрсөтүүнү каржылоо</t>
  </si>
  <si>
    <t>Жарандардын ортосунда тең бөлүштүрүү</t>
  </si>
  <si>
    <t>int((decimal-date-time(today()) - 18839 + ${fmiddays}) div 365.25)</t>
  </si>
  <si>
    <t>new_fmid</t>
  </si>
  <si>
    <t>old_fmid</t>
  </si>
  <si>
    <t>newmember</t>
  </si>
  <si>
    <t>if(${newmember}='','',once(now()))</t>
  </si>
  <si>
    <t>${newmember}=1</t>
  </si>
  <si>
    <t>refusal</t>
  </si>
  <si>
    <t>select_one LEFT_REASON</t>
  </si>
  <si>
    <t>LEFT_REASON</t>
  </si>
  <si>
    <t xml:space="preserve">true </t>
  </si>
  <si>
    <t xml:space="preserve">If it is a replacement household, what is the HHID that is replaced by this household? </t>
  </si>
  <si>
    <t>replacedhhid</t>
  </si>
  <si>
    <t>replacement</t>
  </si>
  <si>
    <t>Is this household a replacement household?</t>
  </si>
  <si>
    <t>${replacement}=1</t>
  </si>
  <si>
    <t>.&gt;=0 and .&lt;=30</t>
  </si>
  <si>
    <t>.&gt;=0 and .&lt;=24</t>
  </si>
  <si>
    <t>0 don't use</t>
  </si>
  <si>
    <t>0 не использую</t>
  </si>
  <si>
    <t>.&gt;0 and .&lt;=30</t>
  </si>
  <si>
    <t>.&gt;=0 and .&lt;=1000</t>
  </si>
  <si>
    <t>.&lt;=500 or .&gt;=20</t>
  </si>
  <si>
    <t>Does your household pay any RENT?</t>
  </si>
  <si>
    <t>How much was the last payment for the RENT?</t>
  </si>
  <si>
    <t xml:space="preserve">How many months did this payment cover? </t>
  </si>
  <si>
    <t>If your household does not pay any rent, how much would your home cost to rent, per month?</t>
  </si>
  <si>
    <t>If your household does not pay any rent, how much could you sell your home for?</t>
  </si>
  <si>
    <t>potmig_fmid</t>
  </si>
  <si>
    <t>jr:choice-name(${potmig_fmid}, '${mg2_}')</t>
  </si>
  <si>
    <t>potmig_name</t>
  </si>
  <si>
    <t>What country is _${potmig_name}_ considering?</t>
  </si>
  <si>
    <t>В какую страну собирается поехать _${potmig_name}_?</t>
  </si>
  <si>
    <t>_${potmig_name}_ кайсы өлкөгө кеткени жатат?</t>
  </si>
  <si>
    <t>if((${potmig_name} = ''), . = '', . &gt;= 0)</t>
  </si>
  <si>
    <t>if((${potmig_name} = ''), "Пустое имя. Удалите группу долгим нажатием на вопросе." , "Неверное значение")</t>
  </si>
  <si>
    <t>Is _${potmig_name}_ considering using a private employment agency to migrate?</t>
  </si>
  <si>
    <t>Рассматривает ли _${potmig_name}_ возможность использования частного агентства по трудоустройству для миграции?</t>
  </si>
  <si>
    <t>_${potmig_name}_ жумуштуулук боюнча жеке агенттиктин кызмат көрсөтүүлөрүн пайдалануу мүмкүнчүлүгүн карайбы?</t>
  </si>
  <si>
    <t>Is _${potmig_name}_ considering migrating using any services provided by the Agency of International Labor Migration?</t>
  </si>
  <si>
    <t>Рассматривает ли _${potmig_name}_ миграцию с использованием каких-либо услуг, предоставляемых Агентством международной трудовой миграции?</t>
  </si>
  <si>
    <t>_${potmig_name}_ Эл аралык эмгек миграциясы агенттиги көрсөткөн кандайдыр бир кызмат көрсөтүүлөрдү пайдалануу менен миграцияны карайбы?</t>
  </si>
  <si>
    <t>retmig_fmid_hhid</t>
  </si>
  <si>
    <t>retmig_fmid</t>
  </si>
  <si>
    <t>jr:choice-name(${retmig_fmid}, '${mg7_}')</t>
  </si>
  <si>
    <t>What country is _${retmig_name}_ coming from?</t>
  </si>
  <si>
    <t>retmig_name</t>
  </si>
  <si>
    <t>Из какой страны возвратился _${retmig_name}_?</t>
  </si>
  <si>
    <t>_${retmig_name}_ кайсы өлкөдөн кайтып келди??</t>
  </si>
  <si>
    <t>if((${retmig_name} = ''), . = '', . &gt;= 0)</t>
  </si>
  <si>
    <t>if((${retmig_name} = ''), "Пустое имя. Удалите группу долгим нажатием на вопросе." , "Неверное значение")</t>
  </si>
  <si>
    <t>What is the primary reason _${retmig_name}_ is back?</t>
  </si>
  <si>
    <t>Какова основная причина возвращения _${retmig_name}_?</t>
  </si>
  <si>
    <t>_${retmig_name}_кайтып келүүсүнүн негизги себеби кандай?</t>
  </si>
  <si>
    <t>livmig_hhid</t>
  </si>
  <si>
    <t>livmig_name</t>
  </si>
  <si>
    <t>How often are you in touch with _${livmig_name}_?</t>
  </si>
  <si>
    <t>Как часто Вы общаетесь с _${livmig_name}_?</t>
  </si>
  <si>
    <t>Сиз   _${livmig_name}_ менен канчалык тез баарлашасыз?</t>
  </si>
  <si>
    <t>if((${livmig_name} = ''), . = '', . &gt;= 0)</t>
  </si>
  <si>
    <t>if((${livmig_name} = ''), "Пустое имя. Удалите группу долгим нажатием на вопросе." , "Неверное значение")</t>
  </si>
  <si>
    <t>In what country is _${livmig_name}_ currently living?</t>
  </si>
  <si>
    <t>На данный момент в какой стране _${livmig_name}_ живет?</t>
  </si>
  <si>
    <t>Азыркы учурда  _${livmig_name}_ кайсы өлкөдө жашайт?</t>
  </si>
  <si>
    <t>Did _${livmig_name}_ use a private employment agency to migrate in the first place?</t>
  </si>
  <si>
    <t>_${livmig_name}_ использовал частное агентство по трудоустройству для миграции?</t>
  </si>
  <si>
    <t xml:space="preserve"> _${livmig_name}_ миграция үчүн ишке орноштуруу боюнча жеке агенттикти пайдаланганбы?</t>
  </si>
  <si>
    <t>Did _${livmig_name}_ migrate using any services provided by the Agency of International Labor Migration?</t>
  </si>
  <si>
    <t>_${livmig_name}_ мигрировал с использованием каких-либо услуг, предоставляемых Агентством международной трудовой миграции?</t>
  </si>
  <si>
    <t>_${livmig_name}_ Эл аралык эмгек миграциясы агенттиги көрсөткөн кандайдыр бир кызмат көрсөтүүлөрдү пайдалануу менен миграцияга кеткенби?</t>
  </si>
  <si>
    <t>Is _${livmig_name}_ currently working?</t>
  </si>
  <si>
    <t>На данный момент работает ли _${livmig_name}_ где-нибудь?</t>
  </si>
  <si>
    <t>Азыркы учурда  _${livmig_name}_ бир жерде иштейби?</t>
  </si>
  <si>
    <t>Is _${livmig_name}_ working abroad officially?</t>
  </si>
  <si>
    <t>_${livmig_name}_ официально работает за границей?</t>
  </si>
  <si>
    <t xml:space="preserve"> _${livmig_name}_ чет өлкөдө расмий түрдө иштейби?</t>
  </si>
  <si>
    <t>Did _${livmig_name}_ send any money to the household over the past month?</t>
  </si>
  <si>
    <t xml:space="preserve">Отправлял ли _${livmig_name}_ деньги семье за последний месяц? </t>
  </si>
  <si>
    <t>Акыркы айда  _${livmig_name}_ үй-бүлөсүнө акча жөнөткөнбү?</t>
  </si>
  <si>
    <t>How much money did _${livmig_name}_ send?</t>
  </si>
  <si>
    <t>Сколько денег _${livmig_name}_ отправил домохозяйству за последние 30 дней?</t>
  </si>
  <si>
    <t>Акыркы 30 күндө _${livmig_name}_ үй чарбасына канча акча жөнөттү?</t>
  </si>
  <si>
    <t>Is _${livmig_name}_ considering returning to Kyrgyzstan in the NEXT 30 DAYS?</t>
  </si>
  <si>
    <t>Планирует ли _${livmig_name}_ возратится в Кыргызстан  в течение СЛЕДУЮЩИХ 30 ДНЕЙ?</t>
  </si>
  <si>
    <t xml:space="preserve"> _${livmig_name}_ 30 КҮН ИЧИНДЕ Кыргызстанга кайтууну пландап жатабы?</t>
  </si>
  <si>
    <t>livmig_fmid</t>
  </si>
  <si>
    <t>jr:choice-name(${livmig_fmid}, '${mg11_}')</t>
  </si>
  <si>
    <t>empact_fmid</t>
  </si>
  <si>
    <t>empact_name</t>
  </si>
  <si>
    <t>Was _${empact_name}_ main activity carried out in _____?</t>
  </si>
  <si>
    <t xml:space="preserve">Основная деятельность, которой занимается  _${empact_name}_? </t>
  </si>
  <si>
    <t>_${empact_name}_алектенген негизги иш?</t>
  </si>
  <si>
    <t>if((${empact_name} = ''), . = '', . &gt;= 0)</t>
  </si>
  <si>
    <t>if((${empact_name} = ''), "Пустое имя. Удалите группу долгим нажатием на вопросе." , "Неверное значение")</t>
  </si>
  <si>
    <t>Is _${empact_name}_ working full time or part time?</t>
  </si>
  <si>
    <t>_${empact_name}_ работает на полной или на не полной ставке?</t>
  </si>
  <si>
    <t xml:space="preserve"> _${empact_name}_ толук же толук эмес ставкада иштейби?</t>
  </si>
  <si>
    <t>Is _${empact_name}_  working in agriculture sector?</t>
  </si>
  <si>
    <t>Является ли данная работа  _${empact_name}_ в сфере производства сельхозкульур?</t>
  </si>
  <si>
    <t>_${empact_name}_ бул жумушу айыл чарба өсүмдүктөрүн өндүрүү чөйрөсүндөгү жумушпу?</t>
  </si>
  <si>
    <t>What sort of agriculture sector is _${empact_name}_ working?</t>
  </si>
  <si>
    <t>В каком секторе сельского хозяйства работает _${empact_name}_?</t>
  </si>
  <si>
    <t>_${empact_name}_кайсы айыл чарба секторунда иштейт?</t>
  </si>
  <si>
    <t>On how many days did  _${empact_name}_ work over the PAST 7 DAYS, even for an hour?</t>
  </si>
  <si>
    <t>За ПОСЛЕДНИЕ 7 ДНЕЙ, сколько дней работал  _${empact_name}_  (даже если он работал всего лишь час)?</t>
  </si>
  <si>
    <t>АКЫРКЫ 7 КҮНДӨ  _${empact_name}_ канча күн иштеди (ал бир гана саат иштесе дагы)?</t>
  </si>
  <si>
    <t>jr:choice-name(${empact_fmid}, '${ac2_}')</t>
  </si>
  <si>
    <t>look_fmid</t>
  </si>
  <si>
    <t>jr:choice-name(${look_fmid}, '${ac13_}')</t>
  </si>
  <si>
    <t>look_name</t>
  </si>
  <si>
    <t>Is _${look_name}_ considering using a private employment agency to find a job?</t>
  </si>
  <si>
    <t xml:space="preserve"> _${look_name}_ рассматривает возможность использования частного агентства по трудоустройству для поиска работы?</t>
  </si>
  <si>
    <t>_${look_name}_ жумуш издөө үчүн жеке агенттикти пайдаланууну карап жатабы?</t>
  </si>
  <si>
    <t>if((${look_name} = ''), . = '', . &gt;= 0)</t>
  </si>
  <si>
    <t>if((${look_name} = ''), "Пустое имя. Удалите группу долгим нажатием на вопросе." , "Неверное значение")</t>
  </si>
  <si>
    <t>vw35_</t>
  </si>
  <si>
    <t>.&gt;0 and .&lt;=7</t>
  </si>
  <si>
    <t>.&gt;=0 and .&lt;=100000</t>
  </si>
  <si>
    <t>.&gt;=0 and .&lt;=12</t>
  </si>
  <si>
    <t>Ваше домохозяйство оплачивает аренду?</t>
  </si>
  <si>
    <t>Сиздин үй-чарбачылык ижара төлөйбү?</t>
  </si>
  <si>
    <t>Сколько стоила последняя оплата АРЕНДЫ?</t>
  </si>
  <si>
    <t>Ижарага акыркы төлөм канча сом түздү?</t>
  </si>
  <si>
    <t xml:space="preserve">Сколько месяцев покрывает эта оплата? </t>
  </si>
  <si>
    <t xml:space="preserve">Бул төлөм канча айга жетет? </t>
  </si>
  <si>
    <t>Если ваше домохозяйство не платит никакой аренды, сколько бы стоила цена аренды вашего дома в месяц?</t>
  </si>
  <si>
    <t>Эгер сиздин үй-чарбалык эч кандай ижара төлөбөсө сиздин үйдүн бир айлык ижара баасы канча болмок?</t>
  </si>
  <si>
    <t>Если ваше домохозяйство не платило никакой аренды, за сколько вы бы могли продать ваш дом?</t>
  </si>
  <si>
    <t>Эгер сиздин үй-чарбалык эч кандай ижара төлөбөсө, үйүңүздү канча сомго сатууга мүмкүн болот эле?</t>
  </si>
  <si>
    <t>concat('name',${old_fmid})</t>
  </si>
  <si>
    <t>concat('days',${old_fmid})</t>
  </si>
  <si>
    <t>Пожалуйста, назовите правильное имя _${fmidname}_ ?</t>
  </si>
  <si>
    <t>Сураныч, туура атын атаңыз  _${fmidname}_ ?.</t>
  </si>
  <si>
    <t>Это заменяющее домохозяйство?</t>
  </si>
  <si>
    <t>Бул үй-чарба алмаштырылган үй-чарбабы?</t>
  </si>
  <si>
    <t>Don't use any kind of gas</t>
  </si>
  <si>
    <t>Не используем</t>
  </si>
  <si>
    <t>Эгерде бул алмаштырылган үй-чарба болсо, орду алмаштырылган үй-чарбанын HHID кандай?</t>
  </si>
  <si>
    <t>Если это замещающее ДХ, какой HHID заменяет это ДХ?</t>
  </si>
  <si>
    <t>Газдын эч бир түрүн колдонбойт</t>
  </si>
  <si>
    <t>${sh12}&gt;0</t>
  </si>
  <si>
    <t>${sh11}&gt;0</t>
  </si>
  <si>
    <t>.&gt;=1000</t>
  </si>
  <si>
    <t>vw53_</t>
  </si>
  <si>
    <t>vw52</t>
  </si>
  <si>
    <t>Do you think that woman should earn less than her husband to sustain peace in the family?</t>
  </si>
  <si>
    <t>Вы думаете должна ли жена зарабатывать меньше чем ее супруг, чтобы сохранить мир в семье?</t>
  </si>
  <si>
    <t>Do you think that woman should spend less time than man in work to dedicate more time for her family?</t>
  </si>
  <si>
    <t>Вы думаете женщине следует тратить меньше времени на работу чем мужчине, чтобы больше времени уделять семье?</t>
  </si>
  <si>
    <r>
      <t>Сиздин ою</t>
    </r>
    <r>
      <rPr>
        <sz val="10"/>
        <color rgb="FF000000"/>
        <rFont val="Calibri"/>
        <family val="2"/>
        <scheme val="minor"/>
      </rPr>
      <t>ң</t>
    </r>
    <r>
      <rPr>
        <sz val="10"/>
        <color rgb="FF000000"/>
        <rFont val="Arial Narrow"/>
        <family val="2"/>
      </rPr>
      <t xml:space="preserve">узча аял </t>
    </r>
    <r>
      <rPr>
        <sz val="10"/>
        <color rgb="FF000000"/>
        <rFont val="Calibri"/>
        <family val="2"/>
        <scheme val="minor"/>
      </rPr>
      <t>ү</t>
    </r>
    <r>
      <rPr>
        <sz val="10"/>
        <color rgb="FF000000"/>
        <rFont val="Arial Narrow"/>
        <family val="2"/>
      </rPr>
      <t>й-б</t>
    </r>
    <r>
      <rPr>
        <sz val="10"/>
        <color rgb="FF000000"/>
        <rFont val="Calibri"/>
        <family val="2"/>
        <scheme val="minor"/>
      </rPr>
      <t>ү</t>
    </r>
    <r>
      <rPr>
        <sz val="10"/>
        <color rgb="FF000000"/>
        <rFont val="Arial Narrow"/>
        <family val="2"/>
      </rPr>
      <t>л</t>
    </r>
    <r>
      <rPr>
        <sz val="10"/>
        <color rgb="FF000000"/>
        <rFont val="Calibri"/>
        <family val="2"/>
        <scheme val="minor"/>
      </rPr>
      <t>ө</t>
    </r>
    <r>
      <rPr>
        <sz val="10"/>
        <color rgb="FF000000"/>
        <rFont val="Arial Narrow"/>
        <family val="2"/>
      </rPr>
      <t>с</t>
    </r>
    <r>
      <rPr>
        <sz val="10"/>
        <color rgb="FF000000"/>
        <rFont val="Calibri"/>
        <family val="2"/>
        <scheme val="minor"/>
      </rPr>
      <t>ү</t>
    </r>
    <r>
      <rPr>
        <sz val="10"/>
        <color rgb="FF000000"/>
        <rFont val="Arial Narrow"/>
        <family val="2"/>
      </rPr>
      <t>н</t>
    </r>
    <r>
      <rPr>
        <sz val="10"/>
        <color rgb="FF000000"/>
        <rFont val="Calibri"/>
        <family val="2"/>
        <scheme val="minor"/>
      </rPr>
      <t>ө</t>
    </r>
    <r>
      <rPr>
        <sz val="10"/>
        <color rgb="FF000000"/>
        <rFont val="Arial Narrow"/>
        <family val="2"/>
      </rPr>
      <t xml:space="preserve"> к</t>
    </r>
    <r>
      <rPr>
        <sz val="10"/>
        <color rgb="FF000000"/>
        <rFont val="Calibri"/>
        <family val="2"/>
        <scheme val="minor"/>
      </rPr>
      <t>ө</t>
    </r>
    <r>
      <rPr>
        <sz val="10"/>
        <color rgb="FF000000"/>
        <rFont val="Arial Narrow"/>
        <family val="2"/>
      </rPr>
      <t>б</t>
    </r>
    <r>
      <rPr>
        <sz val="10"/>
        <color rgb="FF000000"/>
        <rFont val="Calibri"/>
        <family val="2"/>
        <scheme val="minor"/>
      </rPr>
      <t>ү</t>
    </r>
    <r>
      <rPr>
        <sz val="10"/>
        <color rgb="FF000000"/>
        <rFont val="Arial Narrow"/>
        <family val="2"/>
      </rPr>
      <t>р</t>
    </r>
    <r>
      <rPr>
        <sz val="10"/>
        <color rgb="FF000000"/>
        <rFont val="Calibri"/>
        <family val="2"/>
        <scheme val="minor"/>
      </rPr>
      <t>өө</t>
    </r>
    <r>
      <rPr>
        <sz val="10"/>
        <color rgb="FF000000"/>
        <rFont val="Arial Narrow"/>
        <family val="2"/>
      </rPr>
      <t>к убакыт б</t>
    </r>
    <r>
      <rPr>
        <sz val="10"/>
        <color rgb="FF000000"/>
        <rFont val="Calibri"/>
        <family val="2"/>
        <scheme val="minor"/>
      </rPr>
      <t>ө</t>
    </r>
    <r>
      <rPr>
        <sz val="10"/>
        <color rgb="FF000000"/>
        <rFont val="Arial Narrow"/>
        <family val="2"/>
      </rPr>
      <t>л</t>
    </r>
    <r>
      <rPr>
        <sz val="10"/>
        <color rgb="FF000000"/>
        <rFont val="Calibri"/>
        <family val="2"/>
        <scheme val="minor"/>
      </rPr>
      <t>үү</t>
    </r>
    <r>
      <rPr>
        <sz val="10"/>
        <color rgb="FF000000"/>
        <rFont val="Arial Narrow"/>
        <family val="2"/>
      </rPr>
      <t xml:space="preserve"> </t>
    </r>
    <r>
      <rPr>
        <sz val="10"/>
        <color rgb="FF000000"/>
        <rFont val="Calibri"/>
        <family val="2"/>
        <scheme val="minor"/>
      </rPr>
      <t>ү</t>
    </r>
    <r>
      <rPr>
        <sz val="10"/>
        <color rgb="FF000000"/>
        <rFont val="Arial Narrow"/>
        <family val="2"/>
      </rPr>
      <t>ч</t>
    </r>
    <r>
      <rPr>
        <sz val="10"/>
        <color rgb="FF000000"/>
        <rFont val="Calibri"/>
        <family val="2"/>
        <scheme val="minor"/>
      </rPr>
      <t>ү</t>
    </r>
    <r>
      <rPr>
        <sz val="10"/>
        <color rgb="FF000000"/>
        <rFont val="Arial Narrow"/>
        <family val="2"/>
      </rPr>
      <t xml:space="preserve">н </t>
    </r>
    <r>
      <rPr>
        <sz val="10"/>
        <color rgb="FF000000"/>
        <rFont val="Calibri"/>
        <family val="2"/>
        <scheme val="minor"/>
      </rPr>
      <t>ө</t>
    </r>
    <r>
      <rPr>
        <sz val="10"/>
        <color rgb="FF000000"/>
        <rFont val="Arial Narrow"/>
        <family val="2"/>
      </rPr>
      <t>з убакытын жумушка азыраак сарптоо керекпи?</t>
    </r>
  </si>
  <si>
    <t>rent</t>
  </si>
  <si>
    <t>${rent}=1</t>
  </si>
  <si>
    <t>rent_pay</t>
  </si>
  <si>
    <t>rent_pay_int</t>
  </si>
  <si>
    <t xml:space="preserve">How did you pay during the month of our in-person interview? </t>
  </si>
  <si>
    <t>Note: during the face-to-face interview or the baseline interview</t>
  </si>
  <si>
    <t>Сколько бы составила эта сумма на момент нашего интервью?</t>
  </si>
  <si>
    <r>
      <t>Бул т</t>
    </r>
    <r>
      <rPr>
        <sz val="10"/>
        <color theme="1"/>
        <rFont val="Calibri"/>
        <family val="2"/>
      </rPr>
      <t>ө</t>
    </r>
    <r>
      <rPr>
        <sz val="10"/>
        <color theme="1"/>
        <rFont val="Arial Narrow"/>
        <family val="2"/>
      </rPr>
      <t>л</t>
    </r>
    <r>
      <rPr>
        <sz val="10"/>
        <color theme="1"/>
        <rFont val="Calibri"/>
        <family val="2"/>
      </rPr>
      <t>ө</t>
    </r>
    <r>
      <rPr>
        <sz val="10"/>
        <color theme="1"/>
        <rFont val="Arial Narrow"/>
        <family val="2"/>
      </rPr>
      <t xml:space="preserve">м биз интервью </t>
    </r>
    <r>
      <rPr>
        <sz val="10"/>
        <color theme="1"/>
        <rFont val="Calibri"/>
        <family val="2"/>
      </rPr>
      <t>ө</t>
    </r>
    <r>
      <rPr>
        <sz val="10"/>
        <color theme="1"/>
        <rFont val="Arial Narrow"/>
        <family val="2"/>
      </rPr>
      <t>т</t>
    </r>
    <r>
      <rPr>
        <sz val="10"/>
        <color theme="1"/>
        <rFont val="Calibri"/>
        <family val="2"/>
      </rPr>
      <t>ү</t>
    </r>
    <r>
      <rPr>
        <sz val="10"/>
        <color theme="1"/>
        <rFont val="Arial Narrow"/>
        <family val="2"/>
      </rPr>
      <t>п жаткан убакытта канча сом т</t>
    </r>
    <r>
      <rPr>
        <sz val="10"/>
        <color theme="1"/>
        <rFont val="Calibri"/>
        <family val="2"/>
      </rPr>
      <t>ү</t>
    </r>
    <r>
      <rPr>
        <sz val="10"/>
        <color theme="1"/>
        <rFont val="Arial Narrow"/>
        <family val="2"/>
      </rPr>
      <t>зм</t>
    </r>
    <r>
      <rPr>
        <sz val="10"/>
        <color theme="1"/>
        <rFont val="Calibri"/>
        <family val="2"/>
      </rPr>
      <t>ө</t>
    </r>
    <r>
      <rPr>
        <sz val="10"/>
        <color theme="1"/>
        <rFont val="Arial Narrow"/>
        <family val="2"/>
      </rPr>
      <t>к?</t>
    </r>
  </si>
  <si>
    <t>rent_months</t>
  </si>
  <si>
    <t>${rent}=2</t>
  </si>
  <si>
    <t>rent_impute</t>
  </si>
  <si>
    <t xml:space="preserve">rent_impute_past </t>
  </si>
  <si>
    <t xml:space="preserve">How much would it have been at the time our in-person inteview?  </t>
  </si>
  <si>
    <t>home_value</t>
  </si>
  <si>
    <t>home_value_past</t>
  </si>
  <si>
    <t xml:space="preserve">How much would it have been at the time of out in-person interview? </t>
  </si>
  <si>
    <t>Примечание: во время личного собеседования или базового собеседования</t>
  </si>
  <si>
    <t>Эскертүү: жеке аңгемелешүү же базалык аңгемелешүү учурунда</t>
  </si>
  <si>
    <t>leave_reason_</t>
  </si>
  <si>
    <t>leave_reason_other_</t>
  </si>
  <si>
    <t>${leave_reason_}=96</t>
  </si>
  <si>
    <t xml:space="preserve">Ачык булак </t>
  </si>
  <si>
    <t>АКЫРКЫ 30 КҮНДӨ үй чарбаңыз кунумдук чыгымдарды жабуу үчүн тамак-аш азыктарын керектөөнү кыскарттыбы?</t>
  </si>
  <si>
    <t>OCODE</t>
  </si>
  <si>
    <t>select_one OCODE</t>
  </si>
  <si>
    <t>ocode</t>
  </si>
  <si>
    <t>КОВИД-19</t>
  </si>
  <si>
    <t>mg_</t>
  </si>
  <si>
    <t>time_sh</t>
  </si>
  <si>
    <t>time_nr</t>
  </si>
  <si>
    <t>time_or</t>
  </si>
  <si>
    <t>time_mg1</t>
  </si>
  <si>
    <t>time_mg2</t>
  </si>
  <si>
    <t>time_mg3</t>
  </si>
  <si>
    <t>time_mg4</t>
  </si>
  <si>
    <t>time_ac1</t>
  </si>
  <si>
    <t>time_ac2</t>
  </si>
  <si>
    <t>time_ac3</t>
  </si>
  <si>
    <t>time_vw</t>
  </si>
  <si>
    <t>time_sv</t>
  </si>
  <si>
    <t>СБЕРЕЖЕНИЯ</t>
  </si>
  <si>
    <t>time_el</t>
  </si>
  <si>
    <t>ga2_</t>
  </si>
  <si>
    <t>concat(${ocode}, '-', ${hhid}, '-', uuid())</t>
  </si>
  <si>
    <t>barcode</t>
  </si>
  <si>
    <t>qrcode</t>
  </si>
  <si>
    <t>Scan barcode of HHID.</t>
  </si>
  <si>
    <t>Просканируйте номер домохозяйства с экрана компьютера.</t>
  </si>
  <si>
    <t>Сураныч, штрих-код HHID саатын сканер.</t>
  </si>
  <si>
    <t>HH id</t>
  </si>
  <si>
    <t>substring-before(${qrcode},',')</t>
  </si>
  <si>
    <t>bar_catiid</t>
  </si>
  <si>
    <t>Эгер ооба болсо, Үй-бүлө мүчөлөрүнүн ичинен кимиси &lt;АТЫ&gt; АКЫРКЫ 30 КҮНДӨ жумушун жоготту же токтту?</t>
  </si>
  <si>
    <t>АКЫРКЫ 30 КҮН арасында мен сатып алган буюмдарга баалар өтө тез өсүп жатат.</t>
  </si>
  <si>
    <t>Үй-бүлөмдүн финансылык абалы былтыркы ЖЫЛДЫН УШУЛ МЕЗГИЛИНЕ караганда начар.</t>
  </si>
  <si>
    <t xml:space="preserve">Азыркы убакта шаар райондорундагы эски үй ээлерине жаңы турак жайларды жана курулмаларды курууда зыяндын ордун толтуруу боюнча адилеттүү мамиле кылышууда деп эсептейм. </t>
  </si>
  <si>
    <t>Сиз көп сатып алган товарлардын ичинен кайсы 3 товарга баалар көбүрөөк көтөрүлдү?</t>
  </si>
  <si>
    <t>Бүгүнкү күндө COVID-19дун  сиздин жана үй-бүлөңүздүн ден соолугуна потенциалдуу таасир берээрине канчалык тынчсызданасыз?</t>
  </si>
  <si>
    <t>Бүгүнкү күндө COVID-19дун сиздин жана үй-бүлөңүздүн экономикалык жыргалчылыгына потенциалдуу  таасир берээрине канчалык тынчсызданасыз?</t>
  </si>
  <si>
    <t>АКЫРКЫ 14 КҮНДӨ сиздин психикалык саламаттыгыңыз сиздин жеке мамилериңизге канчалык тоскоолдук кылды?</t>
  </si>
  <si>
    <t>Сиздин пикириңизде, климаттын өзгөрүшү азыркы учурда дүйнө үчүн канчалык олуттуу көйгөй болуп саналат? 1ден 10го чейинки шкаланы пайдаланыңыз, мында “1” “таптакыр олуттуу көйгөЙ эмес” дегенди түшүндүрөт, ал эми “10” “өтө олуттуу көйгөй” дегенди түшүндүрөт.</t>
  </si>
  <si>
    <t>в. “Абаны булгоо – МЕН жана үй-бүлөм үчүн олуттуу көйгөй”</t>
  </si>
  <si>
    <t>д. “Биз 2050-жылга карата Кыргызстанды климаттык жактан нейтралдуу кылуу үчүн, калган чыгыНдыларды компенсациялоо менен,  мисалы, токой массивинин аянтын чоңойтуу аркылуу парник газдарынын чыгындыларын минимумга чейин кыскартышыбыз керек”</t>
  </si>
  <si>
    <t xml:space="preserve">е. Бул айрым товарлардын жана кызмат көрсөтүүлөрдүн наркынын өсүшүнө алып келсе дагы, өкмөт курчап турган чөйрөнү булгаган ишмердүүлУккө жогорку салыктарды киргизүүсү керек. </t>
  </si>
  <si>
    <r>
      <t>Үйдү же участокту лег</t>
    </r>
    <r>
      <rPr>
        <b/>
        <sz val="10"/>
        <color rgb="FFFF0000"/>
        <rFont val="Arial"/>
        <family val="2"/>
        <charset val="204"/>
      </rPr>
      <t>а</t>
    </r>
    <r>
      <rPr>
        <sz val="10"/>
        <color theme="1"/>
        <rFont val="Arial"/>
        <family val="2"/>
      </rPr>
      <t>лдаштырууга аракет кылат</t>
    </r>
  </si>
  <si>
    <r>
      <t>Май чыга турган өсүмдүкт</t>
    </r>
    <r>
      <rPr>
        <b/>
        <sz val="10"/>
        <color rgb="FFFF0000"/>
        <rFont val="Arial"/>
        <family val="2"/>
        <charset val="204"/>
      </rPr>
      <t>ор</t>
    </r>
  </si>
  <si>
    <r>
      <rPr>
        <b/>
        <sz val="10"/>
        <color rgb="FFFF0000"/>
        <rFont val="Arial"/>
        <family val="2"/>
        <charset val="204"/>
      </rPr>
      <t>Па</t>
    </r>
    <r>
      <rPr>
        <sz val="10"/>
        <color theme="1"/>
        <rFont val="Arial"/>
        <family val="2"/>
      </rPr>
      <t xml:space="preserve">стеризацияланбаган, жаңы сүт (л) </t>
    </r>
  </si>
  <si>
    <r>
      <t>Көбүрөөк тамак/баш</t>
    </r>
    <r>
      <rPr>
        <b/>
        <sz val="10"/>
        <color rgb="FFFF0000"/>
        <rFont val="Arial"/>
        <family val="2"/>
        <charset val="204"/>
      </rPr>
      <t>к</t>
    </r>
    <r>
      <rPr>
        <sz val="10"/>
        <color theme="1"/>
        <rFont val="Arial"/>
        <family val="2"/>
      </rPr>
      <t>а ресурстарды сатып алам</t>
    </r>
  </si>
  <si>
    <r>
      <t>Потенциалдуу оору</t>
    </r>
    <r>
      <rPr>
        <b/>
        <sz val="10"/>
        <color rgb="FFFF0000"/>
        <rFont val="Arial"/>
        <family val="2"/>
        <charset val="204"/>
      </rPr>
      <t>л</t>
    </r>
    <r>
      <rPr>
        <sz val="10"/>
        <color theme="1"/>
        <rFont val="Arial"/>
        <family val="2"/>
      </rPr>
      <t>уу үй-бүлө мүчөлөрүнүн өз алдынча карантини/обочолонуусу</t>
    </r>
  </si>
  <si>
    <r>
      <t>Жеке же дини</t>
    </r>
    <r>
      <rPr>
        <b/>
        <sz val="10"/>
        <color rgb="FFFF0000"/>
        <rFont val="Arial"/>
        <family val="2"/>
        <charset val="204"/>
      </rPr>
      <t>й</t>
    </r>
    <r>
      <rPr>
        <sz val="10"/>
        <color theme="1"/>
        <rFont val="Arial"/>
        <family val="2"/>
      </rPr>
      <t xml:space="preserve"> ынанымдар</t>
    </r>
  </si>
  <si>
    <t>${el4}=1</t>
  </si>
  <si>
    <t>Are you aware who was elected as your aiyl okmoty/akimiat head?</t>
  </si>
  <si>
    <t>Знаете ли вы, кто был избран вашим главой айыл/акимиат окмоту?</t>
  </si>
  <si>
    <t>Сиздердин айыл өкмөт/акимиат башчысы болуп ким дайындалганын билесизби?</t>
  </si>
  <si>
    <t>Үй-бүлөдөгү тынчтыкты сактоо үчүн
аялы күйөсүнөн азыраак акча табуу
керек деп ойлойсузбу?</t>
  </si>
  <si>
    <t>пенсия по возрасту</t>
  </si>
  <si>
    <t>жашы боюнча пенсия</t>
  </si>
  <si>
    <t>COVID -19 жуктуруп алсаныз, сизге канчалык оор болмок деп ойлойсуз?</t>
  </si>
  <si>
    <t>rentlast</t>
  </si>
  <si>
    <t>${rentlast}=2</t>
  </si>
  <si>
    <t>substr(${qrcode},string-length( ${qrcode})-1,string-length( ${qrcode}))</t>
  </si>
  <si>
    <t>substr(${qrcode},string-length( ${qrcode})-8,string-length( ${qrcode})-2)</t>
  </si>
  <si>
    <t>Сапаргуль</t>
  </si>
  <si>
    <t>ga_end</t>
  </si>
  <si>
    <t>if(${ga_end}='' , '', once(now()))</t>
  </si>
  <si>
    <t>This is the end of GREEN AGENDA</t>
  </si>
  <si>
    <t>Конец секции ЗЕЛЕНАЯ ЭКОНОМИКА</t>
  </si>
  <si>
    <t>time_next</t>
  </si>
  <si>
    <t>Бегайым</t>
  </si>
  <si>
    <t>How concerned are you that the conflict in Ukraine and international economic sanctions on Russia may affect your household?</t>
  </si>
  <si>
    <t xml:space="preserve">CONFLICT-SANCTIONS </t>
  </si>
  <si>
    <t>КОНФЛИКТ-САНКЦИИ</t>
  </si>
  <si>
    <t>ЖАҢЖАЛ-САНКЦИЯЛАР</t>
  </si>
  <si>
    <t>If a migrant formerly working abroad in Russia were to arrive in your neighborhood today, how easily would they be able to find a job?</t>
  </si>
  <si>
    <t xml:space="preserve">This is the end of CONFLICT-SANCTIONS </t>
  </si>
  <si>
    <t>select_one CONSERNED_LEVEL</t>
  </si>
  <si>
    <t>select_one AFFECT_LEVEL</t>
  </si>
  <si>
    <t>select_one EASILY_FIND_JOB</t>
  </si>
  <si>
    <t>select_one AGREE_DISAGREE</t>
  </si>
  <si>
    <t>CONSERNED_LEVEL</t>
  </si>
  <si>
    <t>Very</t>
  </si>
  <si>
    <t>Somewhat</t>
  </si>
  <si>
    <t>A little</t>
  </si>
  <si>
    <t>Очень</t>
  </si>
  <si>
    <t>Отчасти</t>
  </si>
  <si>
    <t>Немного</t>
  </si>
  <si>
    <t>Совсем не беспокоит</t>
  </si>
  <si>
    <t>Аябай</t>
  </si>
  <si>
    <t>Жарым-жартылай</t>
  </si>
  <si>
    <t>Бир аз</t>
  </si>
  <si>
    <t>Такыр тынчсызданбайм</t>
  </si>
  <si>
    <t>Severely</t>
  </si>
  <si>
    <t>Moderately</t>
  </si>
  <si>
    <t>Not at all</t>
  </si>
  <si>
    <t>Сильно</t>
  </si>
  <si>
    <t>Нисколько</t>
  </si>
  <si>
    <t>Катуу</t>
  </si>
  <si>
    <t>Такыр тийгизбейт</t>
  </si>
  <si>
    <t>AFFECT_LEVEL</t>
  </si>
  <si>
    <t>EASILY_FIND_JOB</t>
  </si>
  <si>
    <t>Easy</t>
  </si>
  <si>
    <t>Легко</t>
  </si>
  <si>
    <t>Тяжело</t>
  </si>
  <si>
    <t>Абдан оңой</t>
  </si>
  <si>
    <t>Кыйын</t>
  </si>
  <si>
    <t>Абдан кыйын</t>
  </si>
  <si>
    <t>AGREE_DISAGREE</t>
  </si>
  <si>
    <t xml:space="preserve">Agree </t>
  </si>
  <si>
    <t xml:space="preserve">Согласен </t>
  </si>
  <si>
    <t>cs_</t>
  </si>
  <si>
    <t>cs1</t>
  </si>
  <si>
    <t>cs2</t>
  </si>
  <si>
    <t>cs3_</t>
  </si>
  <si>
    <t>cs3a</t>
  </si>
  <si>
    <t>cs3b</t>
  </si>
  <si>
    <t>cs3c</t>
  </si>
  <si>
    <t>cs3d</t>
  </si>
  <si>
    <t>cs3e</t>
  </si>
  <si>
    <t>cs3f</t>
  </si>
  <si>
    <t>cs3g</t>
  </si>
  <si>
    <t>cs3h</t>
  </si>
  <si>
    <t>cs3i</t>
  </si>
  <si>
    <t>cs3j</t>
  </si>
  <si>
    <t>cs4</t>
  </si>
  <si>
    <t>cs5</t>
  </si>
  <si>
    <t>cs_end</t>
  </si>
  <si>
    <t>Насколько вы обеспокоены тем, что конфликт в Украине и экономические санкции против России могут повлиять на ваше домохозяйство?</t>
  </si>
  <si>
    <t>Украинадагы жаңжал жана Орусияга каршы экономикалык санкциялар сиздин үй-чарбаңызга канчалык таасирин тийгизиши мүмкүн деп тынчсызданып жатасыз?</t>
  </si>
  <si>
    <t xml:space="preserve">Жаңжал жана санкциялар жалпысынан Кыргызстанга таасирин тийгизет деп күтөсүзбү? </t>
  </si>
  <si>
    <t xml:space="preserve">Какие из нижеперчисленных влияний вы ожидаете? </t>
  </si>
  <si>
    <t>Если бы мигрант, ранее работавший в России, приехал сегодня в ваш населенный пункт, насколько легко или трудно ему было бы найти работу?</t>
  </si>
  <si>
    <t>Эгер мурда Орусияда иштеп жүргөн мигрант бүгүн сиз жашаган аймакка келсе, ага жумуш табуу канчалык жеңил же оор болмок?</t>
  </si>
  <si>
    <t>cs5_</t>
  </si>
  <si>
    <t>c5a</t>
  </si>
  <si>
    <t>d. “Правительство Кыргызской Республики делает достаточно, чтобы отреагировать на последствия конфликта и санкций в стране.”</t>
  </si>
  <si>
    <t>d. “Кыргыз Республикасынын Өкмөтү өлкө ичинде жаңжалдын жана санкциялардын кесепеттерине жооп берүү үчүн жетиштүү аракет кылып жатат.”</t>
  </si>
  <si>
    <t>a. Impacts leading to higher food prices</t>
  </si>
  <si>
    <t>a. Подорожание продуктов питания</t>
  </si>
  <si>
    <t>a. Азык-түлүктүн кымбатташы</t>
  </si>
  <si>
    <t>b. Подорожание топлива и электроэнергии</t>
  </si>
  <si>
    <t>b. Күйүүчү майга жана электроэнергияга баанын кымбатташы</t>
  </si>
  <si>
    <t>c. Impacts leading to higher prices for other goods</t>
  </si>
  <si>
    <t>c. Подорожание иных товаров и услуг</t>
  </si>
  <si>
    <t>c. Башка товарлардын жана кызматтардын кымбатташы</t>
  </si>
  <si>
    <t>d. Недоступность некоторых товаров</t>
  </si>
  <si>
    <t>d. Кээ бир буюмдардын жетишсиздиги</t>
  </si>
  <si>
    <t>e. Effects on employment and availability of jobs</t>
  </si>
  <si>
    <t>e. Снижение занятости (количество рабочих мест)</t>
  </si>
  <si>
    <t>e. Жумуштуулуктун кыскарышы (жумуш орундарынын саны)</t>
  </si>
  <si>
    <t>f.  Рост стоимости международных переводов</t>
  </si>
  <si>
    <t xml:space="preserve">g. Ослабление курса сома </t>
  </si>
  <si>
    <t>g. Сомдун курсунун төмөндөшү</t>
  </si>
  <si>
    <t>h. Ограничения в передвижении, поездках</t>
  </si>
  <si>
    <t>h. Кыймылга, саякатка чектөөлөр</t>
  </si>
  <si>
    <t>i.  Снижение безопасности</t>
  </si>
  <si>
    <t>i.  Коопсуздуктун төмөндөшү</t>
  </si>
  <si>
    <t>a. “The government is doing enough to address rising food prices.”</t>
  </si>
  <si>
    <t>a. “Өкмөт, азык-түлүктүн баасын көзөмөлдөө үчүн жетиштүү иш-аракеттерди жасап жатат.”</t>
  </si>
  <si>
    <t>b. “Правительство делает достаточно для поддержки возвратившихся мигрантов.”</t>
  </si>
  <si>
    <t>b. “Өкмөт, кайтып келген мигранттарды колдоо үчүн жетиштүү иш-аракеттерди кылып жатат.”</t>
  </si>
  <si>
    <t>c. “The government is doing enough to support people looking for work.”</t>
  </si>
  <si>
    <t>c. “Правительство делает достаточно для поддержки людей, ищущих работу.”</t>
  </si>
  <si>
    <t>c. “Өкмөт, жумуш издеп жүргөн адамдарды колдоо үчүн жетиштүү иш-аракеттерди жасап жатат.”</t>
  </si>
  <si>
    <t>j. Effects on banking services</t>
  </si>
  <si>
    <t xml:space="preserve">j. Влияние на банковский сектор </t>
  </si>
  <si>
    <t>j. Банктык секторго таасири</t>
  </si>
  <si>
    <t>c5b</t>
  </si>
  <si>
    <t>c5c</t>
  </si>
  <si>
    <t>c5d</t>
  </si>
  <si>
    <t>a. “Правительство делает достаточно для контроля цен на продукты питания.”</t>
  </si>
  <si>
    <t>b. Impacts leading to higher prices of fuel and energy</t>
  </si>
  <si>
    <t>d. Impacts on the availability of some goods</t>
  </si>
  <si>
    <t>g. Impacts on the exchange rate of our national currency against other currencies</t>
  </si>
  <si>
    <t>&lt;IMPACTS&gt;</t>
  </si>
  <si>
    <t>&lt;ВОЗДЕЙСТВИЙ&gt;</t>
  </si>
  <si>
    <t>&lt;КАЙСЫНЫСЫН&gt;</t>
  </si>
  <si>
    <t>&lt;УТВЕРЖДЕНИЯ&gt;</t>
  </si>
  <si>
    <t>&lt;МАКУЛ ЭМЕССИЗБИ&gt;</t>
  </si>
  <si>
    <t>cs3</t>
  </si>
  <si>
    <t>b. “The government is doing enough to support return migrants.”</t>
  </si>
  <si>
    <t>d. “The government is doing enough to respond to the impacts of the conflict and sanctions here in Kyrgyzstan.”</t>
  </si>
  <si>
    <t>Do you agree or disagree with the following &lt;STATEMENTS&gt;?</t>
  </si>
  <si>
    <t>Сураныч, айтсаңыз, төмөндөгү билдирүүлөргө макулсузбу же &lt;МАКУЛ ЭМЕССИЗБИ&gt;?</t>
  </si>
  <si>
    <t>Пожалуйста, скажите, согласны Вы или не согласны со следующими &lt;УТВЕРЖДЕНИЯ&gt;ми?</t>
  </si>
  <si>
    <t xml:space="preserve">Which of the following types of &lt;IMPACTS&gt; do you expect? </t>
  </si>
  <si>
    <t xml:space="preserve">Төмөнкү таасирлердин &lt;КАЙСЫНЫСЫН&gt; күтөсүз? </t>
  </si>
  <si>
    <t>Note: Operators! Read the answers aloud except for don’t know and refuse to answer.</t>
  </si>
  <si>
    <t>Примечание: Операторы! Прочитайте ответы вслух за исключением вариантов не знает и отказывается отвечать.</t>
  </si>
  <si>
    <t>Эскертүү: Операторлор! Билбейм жана жооп берүүдөн баш тартам деген варианттардан тышкары жоопторду окуп бериңиз.</t>
  </si>
  <si>
    <t>Refuse to answer</t>
  </si>
  <si>
    <t>Отказывается отвечать</t>
  </si>
  <si>
    <t>Не знает</t>
  </si>
  <si>
    <t>Жооп берүүдөн баш тартуу</t>
  </si>
  <si>
    <t>Do you expect the conflict and sanctions will affect Kyrgyzstan as a whole?</t>
  </si>
  <si>
    <t>Ожидаете ли вы, что конфликт и санкции повлияют на Кыргызстан в целом?</t>
  </si>
  <si>
    <t>f. Effects on international remittances</t>
  </si>
  <si>
    <t>h. Limits to travel</t>
  </si>
  <si>
    <t>i. Security concerns</t>
  </si>
  <si>
    <t>f.  Эл аралык акча которуулардын баасынын өсүшү</t>
  </si>
  <si>
    <t>${cs2}!=4</t>
  </si>
  <si>
    <t>if(${cs_end}='' , '', once(now()))</t>
  </si>
  <si>
    <t>Конец секции КОНФЛИКТ-САНКЦИИ</t>
  </si>
  <si>
    <t>Do you plan to take on credit in the next 12 months?</t>
  </si>
  <si>
    <t>Собираетесь ли Вы в ближайшие 12 месяцев брать кредит?</t>
  </si>
  <si>
    <t>Сиз жакынкы 12 айдын ичинде кредит алууну пландап жатасызбы?</t>
  </si>
  <si>
    <t>For what do you plan to take on credit in the next 12 months?</t>
  </si>
  <si>
    <t>Для чего вы планируете взять кредит в ближайшие 12 месяцев?</t>
  </si>
  <si>
    <t>Сиз кийинки 12 айда кредитти эмнеге алууну пландап жатасыз?</t>
  </si>
  <si>
    <t xml:space="preserve">Today, do you or other members of your family have any credit that still needs to be repaid? </t>
  </si>
  <si>
    <t xml:space="preserve">Сегодня есть ли у Вас лично или у других членов Вашей семьи какой-либо кредит, по которому ещё надо выплачивать деньги? </t>
  </si>
  <si>
    <t xml:space="preserve">Бүгүнкү күндө сиздин же сиздин үй-бүлөңүздүн башка мүчөлөрүнүн дагы эле төлөнүшү керек болгон кредити барбы? </t>
  </si>
  <si>
    <t>multiple answers</t>
  </si>
  <si>
    <t>несколько вариантов ответов</t>
  </si>
  <si>
    <t>бир нече жооп</t>
  </si>
  <si>
    <t>What share of your family's monthly income goes to pay off all the loans?</t>
  </si>
  <si>
    <t>Какая доля дохода Вашей семьи уходит на выплату всех взятых кредитов?</t>
  </si>
  <si>
    <t>Сиздин үй-бүлөңүздүн кирешесинин кайсы бөлүгү бардык алынган кредиттерди төлөөгө кетет?</t>
  </si>
  <si>
    <t>Over the past month, has it become easier or harder for your family to pay the loan(s) than before?</t>
  </si>
  <si>
    <t>За последний месяц, Вашей семье платить по кредиту (кредитам) стало легче или тяжелее, чем раньше?</t>
  </si>
  <si>
    <t>Акыркы айда үй-бүлөңүзгө кредит(терди) төлөө мурункуга караганда жеңилдедиби же кыйыныраакпы?</t>
  </si>
  <si>
    <t>Does your family currently have any debts to private individuals (relatives, friends, etc.)?</t>
  </si>
  <si>
    <t>У Вашей семьи есть какие-либо долги частным лицам (родственникам, друзьям, знакомым и т.п.)?</t>
  </si>
  <si>
    <t>Сиздин үй-бүлөңүздүн жеке адамдарга (тууган, достор, тааныштар ж.б.) карызы барбы?</t>
  </si>
  <si>
    <t>wb35</t>
  </si>
  <si>
    <t>wb36</t>
  </si>
  <si>
    <t>wb38</t>
  </si>
  <si>
    <t>wb39</t>
  </si>
  <si>
    <t>wb40</t>
  </si>
  <si>
    <t>CREDIT_TYPE</t>
  </si>
  <si>
    <t>Mortgage loan</t>
  </si>
  <si>
    <t>Car loan</t>
  </si>
  <si>
    <t>Consumer credit</t>
  </si>
  <si>
    <t>Education loan</t>
  </si>
  <si>
    <t>Business development loan</t>
  </si>
  <si>
    <t>Ипотечный кредит</t>
  </si>
  <si>
    <t>Автокредит</t>
  </si>
  <si>
    <t>Потребительский кредит</t>
  </si>
  <si>
    <t>Кредит на образование</t>
  </si>
  <si>
    <t>Кредит на развитие бизнеса</t>
  </si>
  <si>
    <t>Ипотекалык кредит</t>
  </si>
  <si>
    <t>Керектөөчү кредит</t>
  </si>
  <si>
    <t>Окууга кредит</t>
  </si>
  <si>
    <t>Бизнести өнүктүрүүгө кредит</t>
  </si>
  <si>
    <t>select_one CREDIT_TYPE</t>
  </si>
  <si>
    <t>wb37_</t>
  </si>
  <si>
    <t>MEMBER_WITH_CREDIT</t>
  </si>
  <si>
    <t>Credit card debt</t>
  </si>
  <si>
    <t>Other type of loans</t>
  </si>
  <si>
    <t>Neither I nor my family members have any loans</t>
  </si>
  <si>
    <t>Задолженность по кредитной карте</t>
  </si>
  <si>
    <t>Другие виды кредитов</t>
  </si>
  <si>
    <t>Ни у меня, ни у членов моей семьи кредитов нет</t>
  </si>
  <si>
    <t>Отказываюсь отвечать</t>
  </si>
  <si>
    <t>Кредиттик карта боюнча карыз</t>
  </si>
  <si>
    <t>Башка кредиттер</t>
  </si>
  <si>
    <t>Менде, үй-бүлө мүчөлөрүмдө да кредит жок</t>
  </si>
  <si>
    <t>select_multiple MEMBER_WITH_CREDIT</t>
  </si>
  <si>
    <t>Less than 10%</t>
  </si>
  <si>
    <t>10% to 25%</t>
  </si>
  <si>
    <t>26% to 50%</t>
  </si>
  <si>
    <t>51% to 75%</t>
  </si>
  <si>
    <t>More than 75%</t>
  </si>
  <si>
    <t>Менее 10%</t>
  </si>
  <si>
    <t>От 10% до 25%</t>
  </si>
  <si>
    <t>От 26% до 50%</t>
  </si>
  <si>
    <t>От 51% до 75%</t>
  </si>
  <si>
    <t>Более 75%</t>
  </si>
  <si>
    <t>10%дан аз</t>
  </si>
  <si>
    <t>10%дан 25%га чейин</t>
  </si>
  <si>
    <t>26%дан 50%гө чейин</t>
  </si>
  <si>
    <t>51%дан 75%га чейин</t>
  </si>
  <si>
    <t>75%дан жогору</t>
  </si>
  <si>
    <t>INCOME_GOES_LOANS</t>
  </si>
  <si>
    <t>select_one INCOME_GOES_LOANS</t>
  </si>
  <si>
    <t>Easier</t>
  </si>
  <si>
    <t>Harder</t>
  </si>
  <si>
    <t>Nothing has changed in this respect</t>
  </si>
  <si>
    <t>Легче</t>
  </si>
  <si>
    <t>Тяжелее</t>
  </si>
  <si>
    <t>В этом отношении ничего не изменилось</t>
  </si>
  <si>
    <t>Жеңилирээк</t>
  </si>
  <si>
    <t>Кыйыныраак</t>
  </si>
  <si>
    <t>Бул жагынан эч нерсе өзгөргөн жок</t>
  </si>
  <si>
    <t>EASIER_PAY_LOANS</t>
  </si>
  <si>
    <t>select_one EASIER_PAY_LOANS</t>
  </si>
  <si>
    <t xml:space="preserve">No </t>
  </si>
  <si>
    <t xml:space="preserve">Да  </t>
  </si>
  <si>
    <t xml:space="preserve">Ооба  </t>
  </si>
  <si>
    <t>YESNORFS</t>
  </si>
  <si>
    <t>select_one YESNORFS</t>
  </si>
  <si>
    <t>${wb35}=1</t>
  </si>
  <si>
    <t>wb36z</t>
  </si>
  <si>
    <t>${wb36}=6</t>
  </si>
  <si>
    <t xml:space="preserve">Speaking of the next five years, will they be a good time or a bad time for the economy of the country? </t>
  </si>
  <si>
    <t>Если говорить о следующих пяти годах, то они будут для экономики страны хорошим или плохим временем?</t>
  </si>
  <si>
    <t>Келерки беш жылдыкты айтсак, алар өлкөнүн экономикасы үчүн жакшы мезгил болобу же жаман мезгил болобу?</t>
  </si>
  <si>
    <t>Speaking of big purchases for your home (such as furniture, refrigerator, home electronics, etc.), do you think it is a good or a bad time to make such purchases in general?</t>
  </si>
  <si>
    <t>Если говорить о крупных покупках для дома (таких как мебель, холодильник, бытовая электроника, телевизор), то как Вы считаете, сейчас в целом хорошее или плохое время для того, чтобы делать такие покупки?</t>
  </si>
  <si>
    <t>Үй чарбалык ири сатып алууларга (мисалы эмерек, муздаткыч, үй электроникасы ж.б.у.с.) келгенде, Сиз азыр жалпысынан мындай сатып алууларды жасоого жакшы же жаман убакыт деп ойлойсузбу?</t>
  </si>
  <si>
    <t>In your opinion, how will the KGS - USD exchange rate change within the next 12 months?</t>
  </si>
  <si>
    <t>Как Вы оцениваете изменение обменного курса сома к доллару США в ближайшие 12 месяцев?</t>
  </si>
  <si>
    <t>Сиздин оюңузча, жакынкы 12 айдын ичинде сомдун  долларга болгон курсу кандай өзгөрөт?</t>
  </si>
  <si>
    <t>Do you agree or disagree that “Now is a good time to buy a house/apartment on a borrowing (any forms of loans)”?</t>
  </si>
  <si>
    <t>Согласны ли вы или не согласны со следующим утверждением: Сейчас самое подходящее время для того, чтобы взять кредит (любой вид кредита) на покупку дома/квартиры.</t>
  </si>
  <si>
    <t>Сиз “Азыр кредитке (кредиттин ар кандай түрү) үй/батир сатып алууга ылайыктуу учур” дегенге кошуласызбы же макул эмессизби?</t>
  </si>
  <si>
    <t>Do you agree or disagree that “Now is a good time to buy a car on a borrowing (any forms of loans)”?</t>
  </si>
  <si>
    <t>Согласны ли вы или не согласны со следующим утверждением: Сейчас самое подходящее время для того, чтобы взять кредит (любой вид кредита) на покупку автомашины?</t>
  </si>
  <si>
    <t>Сиз “Азыр кредитке (кредиттин ар кандай түрү) машина сатып алууга ылайыктуу учур” дегенге кошуласызбы же макул эмессизби?</t>
  </si>
  <si>
    <t>Do you agree or disagree that “Now is a good time to to buy durable goods (such as furniture, refrigerator, home electronics, etc.) on a borrowing (any forms of loans)”?</t>
  </si>
  <si>
    <t>Согласны ли вы или не согласны со следующим утверждением: Сейчас самое подходящее время для того, чтобы взять кредит (любой вид кредита) для оплаты потребительских товаров (таких как мебель, холодильник, домашняя электроника и т.п.)?</t>
  </si>
  <si>
    <t>Сиз “Азыр кредитке (кредиттин ар кандай түрү) керектөөчү товарларды (мисалы, эмерек, муздаткыч, үй электроникалары ж.б.у.с.) сатып алууга ылайыктуу учур” дегенге кошуласызбы же макул эмессизби?</t>
  </si>
  <si>
    <t>vw59</t>
  </si>
  <si>
    <t>vw60</t>
  </si>
  <si>
    <t>vw61</t>
  </si>
  <si>
    <t>vw62</t>
  </si>
  <si>
    <t>vw63</t>
  </si>
  <si>
    <t>vw64</t>
  </si>
  <si>
    <t>It will be a good time</t>
  </si>
  <si>
    <t>It will be neither good, nor bad time</t>
  </si>
  <si>
    <t>It will be a bad time</t>
  </si>
  <si>
    <t>хорошее</t>
  </si>
  <si>
    <t>не хорошее, но и не плохое</t>
  </si>
  <si>
    <t>плохое</t>
  </si>
  <si>
    <t>Жакшы эмес, бирок жаманда эмес</t>
  </si>
  <si>
    <t>ECONOMY_FOR_NEXT_TIME</t>
  </si>
  <si>
    <t>select_one ECONOMY_FOR_NEXT_TIME</t>
  </si>
  <si>
    <t>KGS will strengthen against the USD</t>
  </si>
  <si>
    <t>The exchange rate will not change</t>
  </si>
  <si>
    <t>KGS will weaken against the USD</t>
  </si>
  <si>
    <t>Сом укрепится к доллару</t>
  </si>
  <si>
    <t>Курс не изменится</t>
  </si>
  <si>
    <t>Сом обесценится к доллару</t>
  </si>
  <si>
    <t xml:space="preserve">Сом долларга карата бекемделет </t>
  </si>
  <si>
    <t>Курс өзгөрбөйт</t>
  </si>
  <si>
    <t>Сом долларга карата төмөндөйт</t>
  </si>
  <si>
    <t>EXCHANGE_KGS_USD</t>
  </si>
  <si>
    <t>select_one EXCHANGE_KGS_USD</t>
  </si>
  <si>
    <t>inc14</t>
  </si>
  <si>
    <t>How has the exchange rate against the USD influenced on the lives of people like you over the past 30 days?</t>
  </si>
  <si>
    <t>Как обменный курс доллара повлиял на жизнь таких людей, как вы, за последние 30 дней?</t>
  </si>
  <si>
    <t>Акыркы 30 күндүн ичинде АКШ долларына болгон алмашуу курсу сизге окшогондордун жашоосуна кандай таасир этти?</t>
  </si>
  <si>
    <t>RATE_USD</t>
  </si>
  <si>
    <t>Positvely</t>
  </si>
  <si>
    <t>Negatively</t>
  </si>
  <si>
    <t>No effect</t>
  </si>
  <si>
    <t>Refused</t>
  </si>
  <si>
    <t>Никак не повлиял</t>
  </si>
  <si>
    <t xml:space="preserve">Оң </t>
  </si>
  <si>
    <t>Таасир эткен жок</t>
  </si>
  <si>
    <t>select_one RATE_USD</t>
  </si>
  <si>
    <t>If you would have a chance to choose the currency of savings (KGS or foreign currency), which currency would you choose?</t>
  </si>
  <si>
    <t>Если бы Вам сейчас пришлось выбирать, в чём хранить сбережения – в сомах или в иностранной валюте, то что бы Вы выбрали?</t>
  </si>
  <si>
    <t>Эгерде азыр Сизде аманат валютасын (сом же чет элдик валюта) тандоо мүмкүнчүлүгү болсо, кайсы валютаны тандайт элеңиз?</t>
  </si>
  <si>
    <t>sv8</t>
  </si>
  <si>
    <t>select_one CURRENCY_TYPE</t>
  </si>
  <si>
    <t>CURRENCY_TYPE</t>
  </si>
  <si>
    <t>KGS</t>
  </si>
  <si>
    <t>USD</t>
  </si>
  <si>
    <t>EUR</t>
  </si>
  <si>
    <t>RUB</t>
  </si>
  <si>
    <t>Сом</t>
  </si>
  <si>
    <t>Доллары США</t>
  </si>
  <si>
    <t>Евро</t>
  </si>
  <si>
    <t>Рубли</t>
  </si>
  <si>
    <t>Другая валюта</t>
  </si>
  <si>
    <t>АКШ доллары</t>
  </si>
  <si>
    <t>Рубль</t>
  </si>
  <si>
    <t>Башка валюта</t>
  </si>
  <si>
    <t>(selected(${wb37_}, '8') and count-selected(.) = 1) or (selected(${wb37_}, '9') and count-selected(.) = 1) or (not(selected(${wb37_}, '8')) and not(selected(${wb37_}, '9')))</t>
  </si>
  <si>
    <t>not(selected(${wb37_}, '8'))</t>
  </si>
  <si>
    <t xml:space="preserve"> Sapargul </t>
  </si>
  <si>
    <t xml:space="preserve"> Begayim </t>
  </si>
  <si>
    <t>Childbirth grant</t>
  </si>
  <si>
    <t xml:space="preserve">School feeding </t>
  </si>
  <si>
    <t xml:space="preserve">Free-of-charge provision of medicine </t>
  </si>
  <si>
    <t xml:space="preserve">Free food provision </t>
  </si>
  <si>
    <t xml:space="preserve">Communal expenses subsidies for special groups and monetary compensation for energy price increases </t>
  </si>
  <si>
    <t xml:space="preserve">Old age pension </t>
  </si>
  <si>
    <t xml:space="preserve">Disability pension </t>
  </si>
  <si>
    <t xml:space="preserve">Bread winner loss pension </t>
  </si>
  <si>
    <t xml:space="preserve">Public works </t>
  </si>
  <si>
    <t xml:space="preserve">Unemployment benefits </t>
  </si>
  <si>
    <t xml:space="preserve">Пособие на рождение ребенка </t>
  </si>
  <si>
    <t xml:space="preserve">Ежемесячное пособие малообеспеченным семьям </t>
  </si>
  <si>
    <t>Бесплатное питание…</t>
  </si>
  <si>
    <t>Пенсия по старости</t>
  </si>
  <si>
    <t xml:space="preserve">Пенсия по инвалидности </t>
  </si>
  <si>
    <t xml:space="preserve">Пенсия по случаю потери кормильца </t>
  </si>
  <si>
    <t xml:space="preserve">Профессиональное обучение безработных </t>
  </si>
  <si>
    <t xml:space="preserve">Пособие по безработице </t>
  </si>
  <si>
    <t>Другие пособия</t>
  </si>
  <si>
    <t xml:space="preserve">Бала төрөлгөндө берилүүчү жөлөкпул (Балага сүйүнчү) </t>
  </si>
  <si>
    <t xml:space="preserve">Аз камсыз болгон үй-бүлөлөргө ай сайын берилүүчү жөлөкпул </t>
  </si>
  <si>
    <t>Майыптыгы, карылыгы, баккан адамынан айрылгандыгына байлагыштуу жөлөкпул (ай сайын берилүүчү социалдык жөлөкпул)</t>
  </si>
  <si>
    <t>Мектеп тамагы</t>
  </si>
  <si>
    <t xml:space="preserve">Дары-дармек менен бекер камсыз кылуу </t>
  </si>
  <si>
    <t>Акысыз тамактануу …</t>
  </si>
  <si>
    <t>Атайын топтор үчүн коммуналдык субсидиялар жана энергиянын кымбатташы үчүн акчалай компенсациялар</t>
  </si>
  <si>
    <t>Карылык боюнча пенсия</t>
  </si>
  <si>
    <t xml:space="preserve">Майыптыгы боюнча пенсия </t>
  </si>
  <si>
    <t xml:space="preserve">Баккан адамынан айрылгандыгына байланыштуу пенсия </t>
  </si>
  <si>
    <t>Коомдук жумуштар</t>
  </si>
  <si>
    <t xml:space="preserve">Жумушсуздар үчүн кесиптик билим берүү </t>
  </si>
  <si>
    <t xml:space="preserve">Жумушсуздук боюнча жөлөкпул </t>
  </si>
  <si>
    <t xml:space="preserve">Other benefits </t>
  </si>
  <si>
    <t>BENEFIT_LIST</t>
  </si>
  <si>
    <t xml:space="preserve">Territorial bodies of the Ministry of Labor, Social Security and Migration </t>
  </si>
  <si>
    <t xml:space="preserve">Territorial bodies of the Social Fund </t>
  </si>
  <si>
    <t xml:space="preserve">Territorial bodies of the Ministry of Health </t>
  </si>
  <si>
    <t xml:space="preserve">Local government administrations </t>
  </si>
  <si>
    <t xml:space="preserve">Other </t>
  </si>
  <si>
    <t>GOVERNMENT_AGENCY</t>
  </si>
  <si>
    <t xml:space="preserve">Территориальные подразделения министерства труда, социального обеспечения и миграции </t>
  </si>
  <si>
    <t xml:space="preserve">Территориальные подразделения Социального фонда </t>
  </si>
  <si>
    <t xml:space="preserve">Территориальные подразделения министерства здравоохранения </t>
  </si>
  <si>
    <t xml:space="preserve">Местные государственные администрации </t>
  </si>
  <si>
    <t>Эмгек, социалдык камсыздоо жана миграция министрлигинин аймактык бөлүмдөрүнө</t>
  </si>
  <si>
    <t xml:space="preserve">Социалдык фонддун аймактык бөлүмдөрүнө </t>
  </si>
  <si>
    <t xml:space="preserve">Саламаттык сактоо министрлигинин аймактык бөлүмдөрүнө </t>
  </si>
  <si>
    <t xml:space="preserve">Жергиликтүү өз алдынча башкаруу органдарына </t>
  </si>
  <si>
    <t>Still Considering</t>
  </si>
  <si>
    <t>Все еще рассматривают</t>
  </si>
  <si>
    <t xml:space="preserve">Жок </t>
  </si>
  <si>
    <t xml:space="preserve">Азыркыга чейин караалууда </t>
  </si>
  <si>
    <t>YESNOSC</t>
  </si>
  <si>
    <t xml:space="preserve">Faster than expected </t>
  </si>
  <si>
    <t xml:space="preserve">On time as expected </t>
  </si>
  <si>
    <t xml:space="preserve">Longer than expected </t>
  </si>
  <si>
    <t xml:space="preserve">Быстрее, чем ожидал </t>
  </si>
  <si>
    <t xml:space="preserve">В сроки, как и ожидал </t>
  </si>
  <si>
    <t xml:space="preserve">Дольше, чем ожидал </t>
  </si>
  <si>
    <t xml:space="preserve">Күтүлгөндөн тезирээк </t>
  </si>
  <si>
    <t xml:space="preserve">Күтүлгөндөй өз убагында </t>
  </si>
  <si>
    <t xml:space="preserve">Күтүлгөндөн узак </t>
  </si>
  <si>
    <t>TIME_BENEFIT</t>
  </si>
  <si>
    <t xml:space="preserve">I don't meet the requirements </t>
  </si>
  <si>
    <t xml:space="preserve">I meet the requirements, but have not collected all the documents </t>
  </si>
  <si>
    <t xml:space="preserve">I meet the requirements but stopped because of long and complicated process </t>
  </si>
  <si>
    <t xml:space="preserve">Unknown </t>
  </si>
  <si>
    <t xml:space="preserve">Я не соответствую требованиям </t>
  </si>
  <si>
    <t xml:space="preserve">Я соответсвую всем требованиям, но не собрал все необходимые документы </t>
  </si>
  <si>
    <t xml:space="preserve">Я соответсвую всем требованиям, но приостановил процесс из-за длительности и сложности  </t>
  </si>
  <si>
    <t xml:space="preserve">Неизвестно </t>
  </si>
  <si>
    <t xml:space="preserve">Мен талаптарга жооп бербейм </t>
  </si>
  <si>
    <t xml:space="preserve">Мен талаптарга жооп берем, бирок бардык керектүү документтерди чогулткан жокмун </t>
  </si>
  <si>
    <t xml:space="preserve">Мен талаптарга жооп берем, бирок узак жана татаал процесстен улам токтоп калдым </t>
  </si>
  <si>
    <t xml:space="preserve">Белгисиз </t>
  </si>
  <si>
    <t>REAS_NOT_BENEFIT</t>
  </si>
  <si>
    <t>woman</t>
  </si>
  <si>
    <t>man</t>
  </si>
  <si>
    <t>RND_SEX</t>
  </si>
  <si>
    <t>RND_AGE</t>
  </si>
  <si>
    <t>Her</t>
  </si>
  <si>
    <t>His</t>
  </si>
  <si>
    <t xml:space="preserve">KGS 10,000 </t>
  </si>
  <si>
    <t xml:space="preserve">KGS 20,000 </t>
  </si>
  <si>
    <t xml:space="preserve">KGS 30,000 </t>
  </si>
  <si>
    <t xml:space="preserve">KGS 40,000 </t>
  </si>
  <si>
    <t xml:space="preserve">KGS 50,000 </t>
  </si>
  <si>
    <t>RND_PAY</t>
  </si>
  <si>
    <t>Её</t>
  </si>
  <si>
    <t>Его</t>
  </si>
  <si>
    <t xml:space="preserve">10,000 сом </t>
  </si>
  <si>
    <t xml:space="preserve">20,000 сом </t>
  </si>
  <si>
    <t xml:space="preserve">30,000 сом </t>
  </si>
  <si>
    <t xml:space="preserve">40,000 сом </t>
  </si>
  <si>
    <t xml:space="preserve">50,000 сом </t>
  </si>
  <si>
    <t>Анын</t>
  </si>
  <si>
    <t>RND_HER</t>
  </si>
  <si>
    <t>EARNINGS_LEVEL</t>
  </si>
  <si>
    <t>Severely too high</t>
  </si>
  <si>
    <t>Somewhat too high</t>
  </si>
  <si>
    <t>Fair</t>
  </si>
  <si>
    <t>Somewhat too low</t>
  </si>
  <si>
    <t>Severely too low</t>
  </si>
  <si>
    <t>Слишком высоки</t>
  </si>
  <si>
    <t>Несколько высоки</t>
  </si>
  <si>
    <t>Справедливы</t>
  </si>
  <si>
    <t>Несколько низкими</t>
  </si>
  <si>
    <t>Сильно низкими</t>
  </si>
  <si>
    <t>Өтө жогору</t>
  </si>
  <si>
    <t>Бир аз жогору</t>
  </si>
  <si>
    <t>Адилеттүү</t>
  </si>
  <si>
    <t>Бир аз төмөн</t>
  </si>
  <si>
    <t>Өтө төмөн</t>
  </si>
  <si>
    <t>Has any important change in you household occurred in the past month, such as a birth, death, major injury, major illness, arrest, marriage or conflict?</t>
  </si>
  <si>
    <t>Произошло ли какое-либо важное событие в вашем доме за прошедший месяц (рождения, смерть, свадьба, арест, травма, болезнь, конфликт)?</t>
  </si>
  <si>
    <t>Өткөн айда үйүңүздө кандайдыр бир маанилүү окуя болдубу (төрөлүү, өлүм, үйлөнүү тою, камакка алуу, жаракат алуу, оору, жаңжал)?</t>
  </si>
  <si>
    <t>Conflict/roits/displacement</t>
  </si>
  <si>
    <t>Конфликт/беспорядки/вынужденное переселение</t>
  </si>
  <si>
    <t>Жаңжал/Кагылыш/Мажбур көчүү</t>
  </si>
  <si>
    <t>Айжан</t>
  </si>
  <si>
    <t>Ayzhan</t>
  </si>
  <si>
    <t>_</t>
  </si>
  <si>
    <t>wb48_gr</t>
  </si>
  <si>
    <t>wb48</t>
  </si>
  <si>
    <t>wb48_1</t>
  </si>
  <si>
    <t>wb48_2</t>
  </si>
  <si>
    <t>wb48_3</t>
  </si>
  <si>
    <t>wb48_4</t>
  </si>
  <si>
    <t>wb48_5</t>
  </si>
  <si>
    <t>wb48_6</t>
  </si>
  <si>
    <t>wb48_7</t>
  </si>
  <si>
    <t>48 Who would you turn to first if you were in a situation of severe financial difficulty? (select all relevant)</t>
  </si>
  <si>
    <t>**Select all relevant in order of importance**</t>
  </si>
  <si>
    <t>count-selected(${wb48})&gt;1</t>
  </si>
  <si>
    <t>count-selected(${wb48})&gt;2</t>
  </si>
  <si>
    <t>count-selected(${wb48})&gt;3</t>
  </si>
  <si>
    <t>count-selected(${wb48})&gt;4</t>
  </si>
  <si>
    <t>count-selected(${wb48})&gt;5</t>
  </si>
  <si>
    <t>count-selected(${wb48})&gt;6</t>
  </si>
  <si>
    <t>minimal</t>
  </si>
  <si>
    <t>selected(${wb48},name)</t>
  </si>
  <si>
    <t>selected(${wb48},name) and name !=${wb48_1}</t>
  </si>
  <si>
    <t>selected(${wb48},name) and name !=${wb48_1}  and name !=${wb48_2}</t>
  </si>
  <si>
    <t>selected(${wb48},name) and name !=${wb48_1}  and name !=${wb48_2} and name !=${wb48_3}</t>
  </si>
  <si>
    <t>selected(${wb48},name) and name !=${wb48_1}  and name !=${wb48_2} and name !=${wb48_3} and name !=${wb48_4}</t>
  </si>
  <si>
    <t>selected(${wb48},name) and name !=${wb48_1}  and name !=${wb48_2} and name !=${wb48_3} and name !=${wb48_4} and name !=${wb48_5}</t>
  </si>
  <si>
    <t>selected(${wb48},name) and name !=${wb48_1}  and name !=${wb48_2} and name !=${wb48_3} and name !=${wb48_4} and name !=${wb48_5}  and name !=${wb48_6}</t>
  </si>
  <si>
    <t>48 К кому бы вы обратились в первую очередь, если бы оказались в ситуации серьезных финансовых трудностей? (выберите все подходящие варианты)</t>
  </si>
  <si>
    <t>**Выберите все подходящие варианты в порядке важности**</t>
  </si>
  <si>
    <t>48 Эгерде Сиз олуттуу каржылык кыйынчылыктарга туш болуп калсаңыз, биринчи кезекте кимге кайрылмаксыз? (маанилүүлүгүнө жараша бардык тиешелүү нерселерди тандаңыз)</t>
  </si>
  <si>
    <t>**маанилүүлүгүнө жараша бардык тиешелүү нерселерди тандаңыз**</t>
  </si>
  <si>
    <t>№1</t>
  </si>
  <si>
    <t>№2</t>
  </si>
  <si>
    <t>№3</t>
  </si>
  <si>
    <t>№4</t>
  </si>
  <si>
    <t>№5</t>
  </si>
  <si>
    <t>№6</t>
  </si>
  <si>
    <t>№7</t>
  </si>
  <si>
    <t>wb49_gr</t>
  </si>
  <si>
    <t>wb49</t>
  </si>
  <si>
    <t>count-selected(${wb49})&gt;1</t>
  </si>
  <si>
    <t>count-selected(${wb49})&gt;2</t>
  </si>
  <si>
    <t>count-selected(${wb49})&gt;3</t>
  </si>
  <si>
    <t>count-selected(${wb49})&gt;4</t>
  </si>
  <si>
    <t>count-selected(${wb49})&gt;5</t>
  </si>
  <si>
    <t>count-selected(${wb49})&gt;6</t>
  </si>
  <si>
    <t>selected(${wb49},name)</t>
  </si>
  <si>
    <t>selected(${wb49},name) and name !=${wb49_1}</t>
  </si>
  <si>
    <t>selected(${wb49},name) and name !=${wb49_1}  and name !=${wb49_2}</t>
  </si>
  <si>
    <t>selected(${wb49},name) and name !=${wb49_1}  and name !=${wb49_2} and name !=${wb49_3}</t>
  </si>
  <si>
    <t>selected(${wb49},name) and name !=${wb49_1}  and name !=${wb49_2} and name !=${wb49_3} and name !=${wb49_4}</t>
  </si>
  <si>
    <t>selected(${wb49},name) and name !=${wb49_1}  and name !=${wb49_2} and name !=${wb49_3} and name !=${wb49_4} and name !=${wb49_5}</t>
  </si>
  <si>
    <t>selected(${wb49},name) and name !=${wb49_1}  and name !=${wb49_2} and name !=${wb49_3} and name !=${wb49_4} and name !=${wb49_5}  and name !=${wb49_6}</t>
  </si>
  <si>
    <t>49 Who would you turn to first if you were in a situation of severe emotional difficulty? (select all relevant in order of importance) (select all relevant)</t>
  </si>
  <si>
    <t>49 К кому бы вы обратились в первую очередь, если бы оказались в ситуации серьезных эмоциональных трудностей?  (выберите все подходящие варианты)</t>
  </si>
  <si>
    <t>49 Эгерде Сиз олуттуу эмоционалдык кыйынчылыктарга туш болуп калсаңыз, биринчи кезекте кимге кайрылмаксыз?  (маанилүүлүгүнө жараша бардык тиешелүү нерселерди тандаңыз)</t>
  </si>
  <si>
    <t>select_one TURN_PRB</t>
  </si>
  <si>
    <t>select_multiple TURN_PRB</t>
  </si>
  <si>
    <t>TURN_PRB</t>
  </si>
  <si>
    <t>Family</t>
  </si>
  <si>
    <t>Friends</t>
  </si>
  <si>
    <t>Aiyl Okmotu</t>
  </si>
  <si>
    <t>Religious leader</t>
  </si>
  <si>
    <t>Bank</t>
  </si>
  <si>
    <t>Government official</t>
  </si>
  <si>
    <t>Семья</t>
  </si>
  <si>
    <t>Друзья</t>
  </si>
  <si>
    <t>Айыл окмоту</t>
  </si>
  <si>
    <t>Религиозный лидер</t>
  </si>
  <si>
    <t>Банк</t>
  </si>
  <si>
    <t>Правительство</t>
  </si>
  <si>
    <t>Үй-бүлө</t>
  </si>
  <si>
    <t>Достор</t>
  </si>
  <si>
    <t>Айыл өкмөтү</t>
  </si>
  <si>
    <t>Диний лидери</t>
  </si>
  <si>
    <t>Өкмөт</t>
  </si>
  <si>
    <t>wb48x</t>
  </si>
  <si>
    <t>selected(${wb48},'7')</t>
  </si>
  <si>
    <t>wb49x</t>
  </si>
  <si>
    <t>selected(${wb49},'7')</t>
  </si>
  <si>
    <t>wb49_1</t>
  </si>
  <si>
    <t>wb49_2</t>
  </si>
  <si>
    <t>wb49_3</t>
  </si>
  <si>
    <t>wb49_4</t>
  </si>
  <si>
    <t>wb49_5</t>
  </si>
  <si>
    <t>wb49_6</t>
  </si>
  <si>
    <t>wb49_7</t>
  </si>
  <si>
    <t># 1</t>
  </si>
  <si>
    <t># 2</t>
  </si>
  <si>
    <t># 3</t>
  </si>
  <si>
    <t># 4</t>
  </si>
  <si>
    <t># 5</t>
  </si>
  <si>
    <t># 6</t>
  </si>
  <si>
    <t># 7</t>
  </si>
  <si>
    <t>No school-child in household</t>
  </si>
  <si>
    <t>Food from home</t>
  </si>
  <si>
    <t>Get at school</t>
  </si>
  <si>
    <t>Do not eat school meals at al</t>
  </si>
  <si>
    <t>В семье нет школьника</t>
  </si>
  <si>
    <t>Еда из дома</t>
  </si>
  <si>
    <t>Получают ее в школе</t>
  </si>
  <si>
    <t>Вообще не едят в школе</t>
  </si>
  <si>
    <t>Үй-бүлөдө мектеп окуучусу жок</t>
  </si>
  <si>
    <t>Үйдүн тамагы</t>
  </si>
  <si>
    <t>Мектептин тамагы</t>
  </si>
  <si>
    <t>Мектепте такыр тамактанбайт</t>
  </si>
  <si>
    <t>SCHOOLTAKEFOOD</t>
  </si>
  <si>
    <t xml:space="preserve">Very satisfied </t>
  </si>
  <si>
    <t xml:space="preserve">Somewhat satisfied </t>
  </si>
  <si>
    <t>Somewhat dissatisfied</t>
  </si>
  <si>
    <t xml:space="preserve">Очень удовлетворен </t>
  </si>
  <si>
    <t>Скорее удовлетворен</t>
  </si>
  <si>
    <t>Скорее неудовлетворен</t>
  </si>
  <si>
    <t>Очень неудовлетворен</t>
  </si>
  <si>
    <t xml:space="preserve">Не знаю </t>
  </si>
  <si>
    <t>Толук канааттанам</t>
  </si>
  <si>
    <t>Канааттанам</t>
  </si>
  <si>
    <t>Канааттанбайм</t>
  </si>
  <si>
    <t>Толук канааттанбайм</t>
  </si>
  <si>
    <t xml:space="preserve">Билбейм </t>
  </si>
  <si>
    <t>SATISFIED_MEAL</t>
  </si>
  <si>
    <t>Yes, always</t>
  </si>
  <si>
    <t>Yes, sometimes</t>
  </si>
  <si>
    <t xml:space="preserve">Never </t>
  </si>
  <si>
    <t>Да, всегда</t>
  </si>
  <si>
    <t>Да, иногда</t>
  </si>
  <si>
    <t>Никогда</t>
  </si>
  <si>
    <t>Ооба, ар дайым</t>
  </si>
  <si>
    <t>Ооба, кээде</t>
  </si>
  <si>
    <t>Эч качан</t>
  </si>
  <si>
    <t>ARESCHOOLMEALPROV</t>
  </si>
  <si>
    <t>Very healthy</t>
  </si>
  <si>
    <t>Somewhat healthy</t>
  </si>
  <si>
    <t>Somewhat unhealthy</t>
  </si>
  <si>
    <t>Very unhealthy</t>
  </si>
  <si>
    <t>Do not eat school meals at all</t>
  </si>
  <si>
    <t>Очень полезным</t>
  </si>
  <si>
    <t>Скорее полезным</t>
  </si>
  <si>
    <t>Скорее неполезным</t>
  </si>
  <si>
    <t>Очень неполезным</t>
  </si>
  <si>
    <t>Вообще не питаемся в школе</t>
  </si>
  <si>
    <t>Абдан пайдалуу</t>
  </si>
  <si>
    <t>Бираз пайдалуу</t>
  </si>
  <si>
    <t>Бираз пайдалуу эмес</t>
  </si>
  <si>
    <t xml:space="preserve">Абдан пайдалуу эмес </t>
  </si>
  <si>
    <t>HEALTHLY_SCHOOLMEAL</t>
  </si>
  <si>
    <t>In your opinion, in what way prices of goods and services has changed in the last 12 months?</t>
  </si>
  <si>
    <t xml:space="preserve">Как, по Вашему мнению, в целом изменились цены на товары и услуги за прошедшие 12 месяцев? </t>
  </si>
  <si>
    <t>Сиздин оюңузча, акыркы 12 айда товарлардын жана кызмат көрсөтүүлөрдүн баасы кандай өзгөрдү?</t>
  </si>
  <si>
    <t>select_one CHANGED_PRICE</t>
  </si>
  <si>
    <t>CHANGED_PRICE</t>
  </si>
  <si>
    <t>Were increasing faster than before</t>
  </si>
  <si>
    <t>Were increasing the same way as before</t>
  </si>
  <si>
    <t>Were increasing slower than before</t>
  </si>
  <si>
    <t>Did not change</t>
  </si>
  <si>
    <t>Decreased</t>
  </si>
  <si>
    <t>Мурункуга караганда тезирээк өсүп жатты</t>
  </si>
  <si>
    <t>Мурдагыдай эле өсүп жатты</t>
  </si>
  <si>
    <t>Мурункуга караганда жайыраак өскөн</t>
  </si>
  <si>
    <t>Өзгөргөн жок</t>
  </si>
  <si>
    <t>Баалар төмөндөдү</t>
  </si>
  <si>
    <t>Росли быстрее, чем раньше</t>
  </si>
  <si>
    <t>Росли так же, как и раньше</t>
  </si>
  <si>
    <t>Росли медленнее, чем раньше</t>
  </si>
  <si>
    <t>Не изменились</t>
  </si>
  <si>
    <t>Снизились</t>
  </si>
  <si>
    <t>In your opinion, in what way prices of goods and services will be changing in the next 12 months?</t>
  </si>
  <si>
    <t>Как, по Вашему мнению, в целом изменятся цены на товары и на услуги в следующие 12 месяцев?</t>
  </si>
  <si>
    <t>Сиздин оюңузча, кийинки 12 айда товарлардын жана кызмат көрсөтүүлөрдүн баасы кандай өзгөрөт?</t>
  </si>
  <si>
    <t>select_one CHANGED_PRICE2</t>
  </si>
  <si>
    <t>vw51a</t>
  </si>
  <si>
    <t>vw52a</t>
  </si>
  <si>
    <t>Will be increasing faster than now</t>
  </si>
  <si>
    <t>Will be increasing in the same way as now</t>
  </si>
  <si>
    <t>Will be increasing slower than now</t>
  </si>
  <si>
    <t>Will remain at the current level/ unchanged</t>
  </si>
  <si>
    <t>Will decrease</t>
  </si>
  <si>
    <t>Будут расти быстрее, чем сейчас</t>
  </si>
  <si>
    <t>Будут расти так же, как и сейчас</t>
  </si>
  <si>
    <t>Будут расти медленнее, чем сейчас</t>
  </si>
  <si>
    <t>Останутся на нынешнем уровне \ неизменными</t>
  </si>
  <si>
    <t>Будут снижаться</t>
  </si>
  <si>
    <t>Азыркыдан тезирээк жогорулайт</t>
  </si>
  <si>
    <t>Азыркыдай эле жогорулайт</t>
  </si>
  <si>
    <t>Азыркыга караганда жайыраак жогорулайт</t>
  </si>
  <si>
    <t>Азыркы деңгээлде/ өзгөрүүсүз калат</t>
  </si>
  <si>
    <t>Төмөндөйт</t>
  </si>
  <si>
    <t>CHANGED_PRICE2</t>
  </si>
  <si>
    <t>oldupd_</t>
  </si>
  <si>
    <t>UPDATE ROSTER</t>
  </si>
  <si>
    <t>oldupd_hhid</t>
  </si>
  <si>
    <t>oldupd_fmid</t>
  </si>
  <si>
    <t>fmidnameupd</t>
  </si>
  <si>
    <t>fmiddaysupd</t>
  </si>
  <si>
    <t>fmidageupd</t>
  </si>
  <si>
    <t>sex</t>
  </si>
  <si>
    <t>relationship</t>
  </si>
  <si>
    <t>spouse_fmid</t>
  </si>
  <si>
    <t>spouse_together</t>
  </si>
  <si>
    <t>marital_status</t>
  </si>
  <si>
    <t>child_mother_fmid</t>
  </si>
  <si>
    <t>child_ismother</t>
  </si>
  <si>
    <t>child_mother_where</t>
  </si>
  <si>
    <t>child_isfather</t>
  </si>
  <si>
    <t>child_father_fmid</t>
  </si>
  <si>
    <t>child_father_where</t>
  </si>
  <si>
    <t>do not include unfinished education</t>
  </si>
  <si>
    <t>не включайте неоконченное обучение</t>
  </si>
  <si>
    <t>Бүтпөгөн окууну кошпоңуз.</t>
  </si>
  <si>
    <t>Specify gender of  _${fmidnameupd}_</t>
  </si>
  <si>
    <t>Relationship of  _${fmidnameupd}_  head in household?</t>
  </si>
  <si>
    <t>What is the present marital status of  _${fmidnameupd}_?</t>
  </si>
  <si>
    <t>Does the spouse/partner of  _${fmidnameupd}_ live in this household now?</t>
  </si>
  <si>
    <t>Who is  the spouse/ partner of  _${fmidnameupd}_.</t>
  </si>
  <si>
    <t>Does  _${fmidnameupd}_ natural mother live in this household?</t>
  </si>
  <si>
    <t>Who is  the mother of  _${fmidnameupd}_.</t>
  </si>
  <si>
    <t>Where does  _${fmidnameupd}_ 's natural mother live?</t>
  </si>
  <si>
    <t>Does  _${fmidnameupd}_ 's natural father live in this household?</t>
  </si>
  <si>
    <t>Who is  the father of  _${fmidnameupd}_.</t>
  </si>
  <si>
    <t>Where does  _${fmidnameupd}_'s natural father live?</t>
  </si>
  <si>
    <t>What is the highest diploma  _${fmidnameupd}_ has obtained?</t>
  </si>
  <si>
    <t>Не спрашивая укажите пол  _${fmidnameupd}_</t>
  </si>
  <si>
    <t>Кем приходится  _${fmidnameupd}_ к главе домохозяйства?</t>
  </si>
  <si>
    <t>Какое семейное положение в настоящее время у  _${fmidnameupd}_?</t>
  </si>
  <si>
    <t>В настоящее время супруг(а)/сожитель(ница)  _${fmidnameupd}_ проживает в данном домохозяйстве?</t>
  </si>
  <si>
    <t>Кто является супругом / партнером  _${fmidnameupd}_.</t>
  </si>
  <si>
    <t>Живет ли родная мать  _${fmidnameupd}_ в этом домохозяйстве?</t>
  </si>
  <si>
    <t>Кто является родной матерью  _${fmidnameupd}_?</t>
  </si>
  <si>
    <t>Где живет родная мать  _${fmidnameupd}_?</t>
  </si>
  <si>
    <t>Живет ли родной отец  _${fmidnameupd}_ в этом домохозяйстве?</t>
  </si>
  <si>
    <t>Кто является родным отцом  _${fmidnameupd}_?</t>
  </si>
  <si>
    <t>Где живет родной отец  _${fmidnameupd}_?</t>
  </si>
  <si>
    <t xml:space="preserve">Какое наивысшее образование получил(а)  _${fmidnameupd}_?  </t>
  </si>
  <si>
    <t xml:space="preserve"> _${fmidnameupd}_ үй-бүлө башчысына ким болот?</t>
  </si>
  <si>
    <t xml:space="preserve"> _${fmidnameupd}_ учурдагы үй-бүлөлүк абалы кандай?</t>
  </si>
  <si>
    <t>Учурда  _${fmidnameupd}_дин жубайы/ өнөктөшү бул үй-бүлөдө жашайбы?</t>
  </si>
  <si>
    <t xml:space="preserve"> _${fmidnameupd}_дин жубайы/өнөктөшү ким.</t>
  </si>
  <si>
    <t>Бул үй-бүлөдө  _${fmidnameupd}_-дын өз апасы жашайбы?</t>
  </si>
  <si>
    <t xml:space="preserve"> _${fmidnameupd}_дин өз энеси ким?</t>
  </si>
  <si>
    <t xml:space="preserve"> _${fmidnameupd}_ өз апасы кайда жашайт?</t>
  </si>
  <si>
    <t>Бул үй-бүлөдө  _${fmidnameupd}_-дын өз атасы жашайбы?</t>
  </si>
  <si>
    <t xml:space="preserve"> _${fmidnameupd}_дин өз атасы ким?</t>
  </si>
  <si>
    <t xml:space="preserve"> _${fmidnameupd}_ өз атасы кайда жашайт?</t>
  </si>
  <si>
    <t xml:space="preserve"> _${fmidnameupd}_ алган эң жогорку билим деңгээли кандай?</t>
  </si>
  <si>
    <t>Сурабастан, респонденттин жынысын белгилеңиз _${fmidnameupd}_</t>
  </si>
  <si>
    <t>Married official</t>
  </si>
  <si>
    <t>Married traditional (Nikah)</t>
  </si>
  <si>
    <t>Divorced</t>
  </si>
  <si>
    <t>Living together</t>
  </si>
  <si>
    <t>Separated</t>
  </si>
  <si>
    <t>Widow/er</t>
  </si>
  <si>
    <t>Single</t>
  </si>
  <si>
    <t>Официальный брак</t>
  </si>
  <si>
    <t>Традиционный брак (никох)</t>
  </si>
  <si>
    <t>В разводе</t>
  </si>
  <si>
    <t>Совместное проживание</t>
  </si>
  <si>
    <t>Живут порознь</t>
  </si>
  <si>
    <t>Вдовец/вдова</t>
  </si>
  <si>
    <t>Не замужем/не женат</t>
  </si>
  <si>
    <t>Расмий нике</t>
  </si>
  <si>
    <t xml:space="preserve">Салттуу нике </t>
  </si>
  <si>
    <t>Ажырашкан</t>
  </si>
  <si>
    <t xml:space="preserve">Бирге жашоо </t>
  </si>
  <si>
    <t xml:space="preserve">Бөлөк жашоо </t>
  </si>
  <si>
    <t xml:space="preserve">Жесир </t>
  </si>
  <si>
    <t xml:space="preserve">Бойдок/үйлөнбөгөн </t>
  </si>
  <si>
    <t>MARITAL_STATUS</t>
  </si>
  <si>
    <t>select_one MARITAL_STATUS</t>
  </si>
  <si>
    <t>marital_status_x</t>
  </si>
  <si>
    <t>${marital_status}=96</t>
  </si>
  <si>
    <t>HHLIST</t>
  </si>
  <si>
    <t>${oldp1}</t>
  </si>
  <si>
    <t>${oldp10}</t>
  </si>
  <si>
    <t>${oldp11}</t>
  </si>
  <si>
    <t>${oldp12}</t>
  </si>
  <si>
    <t>${oldp13}</t>
  </si>
  <si>
    <t>${oldp14}</t>
  </si>
  <si>
    <t>${oldp15}</t>
  </si>
  <si>
    <t>${oldp16}</t>
  </si>
  <si>
    <t>${oldp17}</t>
  </si>
  <si>
    <t>${oldp18}</t>
  </si>
  <si>
    <t>${oldp19}</t>
  </si>
  <si>
    <t>${oldp2}</t>
  </si>
  <si>
    <t>${oldp3}</t>
  </si>
  <si>
    <t>${oldp4}</t>
  </si>
  <si>
    <t>${oldp5}</t>
  </si>
  <si>
    <t>${oldp6}</t>
  </si>
  <si>
    <t>${oldp7}</t>
  </si>
  <si>
    <t>${oldp8}</t>
  </si>
  <si>
    <t>${oldp9}</t>
  </si>
  <si>
    <t>${oldp20}</t>
  </si>
  <si>
    <t>${oldp21}</t>
  </si>
  <si>
    <t>${oldp22}</t>
  </si>
  <si>
    <t>${oldp23}</t>
  </si>
  <si>
    <t>${oldp24}</t>
  </si>
  <si>
    <t>${oldp25}</t>
  </si>
  <si>
    <t>Abroad</t>
  </si>
  <si>
    <t>In another household in the same region</t>
  </si>
  <si>
    <t>In another household in another region</t>
  </si>
  <si>
    <t>Institution in this country</t>
  </si>
  <si>
    <t>За границей</t>
  </si>
  <si>
    <t>В другом домохозяйстве в том же регионе</t>
  </si>
  <si>
    <t>В другом домохозяйстве в другом регионе</t>
  </si>
  <si>
    <t>Учреждение в этой стране</t>
  </si>
  <si>
    <t>Чет өлкөдө</t>
  </si>
  <si>
    <t>Ушул эле аймактагы башка үй-бүлөдө</t>
  </si>
  <si>
    <t>Башка аймактагы башка үй-бүлөдө</t>
  </si>
  <si>
    <t>Бул өлкөдөгү мекеме</t>
  </si>
  <si>
    <t>Каза болгон</t>
  </si>
  <si>
    <t>select_one PARENTS_WHERE</t>
  </si>
  <si>
    <t>education</t>
  </si>
  <si>
    <t>select_one EDUC_LEVEL</t>
  </si>
  <si>
    <t>EDUC_LEVEL</t>
  </si>
  <si>
    <t>None</t>
  </si>
  <si>
    <t>Primary (1-4)</t>
  </si>
  <si>
    <t xml:space="preserve">Basic (grades 5-8(9)) </t>
  </si>
  <si>
    <t xml:space="preserve">Secondary general </t>
  </si>
  <si>
    <t xml:space="preserve">Secondary special  </t>
  </si>
  <si>
    <t>Secondary technical</t>
  </si>
  <si>
    <t>Higher education/bachelor</t>
  </si>
  <si>
    <t>Graduate school/aspirantura</t>
  </si>
  <si>
    <t>Ни один</t>
  </si>
  <si>
    <t>Начальное образование (1-4)</t>
  </si>
  <si>
    <t>Основное (классы 5-8(9))</t>
  </si>
  <si>
    <t>Среднее общее</t>
  </si>
  <si>
    <t>Среднее специальное</t>
  </si>
  <si>
    <t>Среднее техническое</t>
  </si>
  <si>
    <t>Высшее образование</t>
  </si>
  <si>
    <t>Высшая школа/аспирантура</t>
  </si>
  <si>
    <t>Башталгыч билим (1-4)</t>
  </si>
  <si>
    <t>Негизги (5-8(9)-класстар)</t>
  </si>
  <si>
    <t>Орточо жалпы</t>
  </si>
  <si>
    <t>Атайын орто</t>
  </si>
  <si>
    <t>Орто техникалык</t>
  </si>
  <si>
    <t xml:space="preserve">Жогорку билим/бакалавр </t>
  </si>
  <si>
    <t>Жогорку билим/ аспирантура</t>
  </si>
  <si>
    <t>${spouse_together}=1</t>
  </si>
  <si>
    <t>${child_ismother}=1</t>
  </si>
  <si>
    <t>${child_ismother}=2</t>
  </si>
  <si>
    <t>${child_isfather}=1</t>
  </si>
  <si>
    <t>${child_isfather}=2</t>
  </si>
  <si>
    <t>${marital_status}=1 or ${marital_status}=2 or ${marital_status}=4</t>
  </si>
  <si>
    <t>ecom_</t>
  </si>
  <si>
    <t>E-COMMERCE</t>
  </si>
  <si>
    <t>ЭЛЕКТРОННАЯ КОММЕРЦИЯ</t>
  </si>
  <si>
    <t>ЭЛЕКТРОНДУК СООДА</t>
  </si>
  <si>
    <t>Have you or members of your household ordered goods or services online in the last 30 days?</t>
  </si>
  <si>
    <t>Заказывали ли вы или члены вашего домохозяйства товары или услуги онлайн за последние 30 дней?</t>
  </si>
  <si>
    <t>Акыркы 30 күндүн ичинде сиз же сиздин үй-бүлөңүздүн мүчөлөрү товарлар же кызматтарды онлайн заказ кылганбы?</t>
  </si>
  <si>
    <t>ecom8</t>
  </si>
  <si>
    <t>What the following goods have you purchased via a website or app for private use in the last 30 days? Include online purchases from enterprises or private persons, including used goods. (More than one answer is allowed, and self-explanatory):</t>
  </si>
  <si>
    <t>Note: “goods” here means “physical goods”, in other words everything else except services or digital products delivered or used via the internet</t>
  </si>
  <si>
    <t>ecom9_</t>
  </si>
  <si>
    <t>Какие следующие товары вы приобрели через веб-сайт или приложение для личного использования за последние 30 дней? Включите онлайн-покупки у предприятий или частных лиц, в том числе бывшие в употреблении товары. (Допускается более одного ответа, которые не требуют пояснений)</t>
  </si>
  <si>
    <t>Примечание: здесь «товары» означают «физические товары», то есть все остальное, кроме услуг или цифровых продуктов, доставляемых или используемых через Интернет</t>
  </si>
  <si>
    <t>Акыркы 30 күндүн ичинде жеке колдонуу үчүн веб-сайт же колдонмо аркылуу кайсы товарларды сатып алдыңыз? Ишканалардан же жеке адамдардан онлайн сатып алууларды, анын ичинде колдонулган товарларды камтыңыз. (Бирден ашык жооп берүүгө жол берилет, түшүндүрмөсүз):</t>
  </si>
  <si>
    <t>Эскертүү: "товарлар" бул жерде "физикалык товарлар" дегенди билдирет, башкача айтканда, интернет аркылуу жеткирилген же колдонулган кызматтардан же санариптик продуктулардан башка бардык нерсе</t>
  </si>
  <si>
    <t>ecom9_x</t>
  </si>
  <si>
    <t>ecom10_</t>
  </si>
  <si>
    <t xml:space="preserve">What the following services have you purchased or subscribe to via a website or app for private use/purpose in the last 30 days? </t>
  </si>
  <si>
    <t>More than one answer is allowed, and self-explanatory</t>
  </si>
  <si>
    <t xml:space="preserve">Какие следующие услуги вы приобрели или на которые подписались через веб-сайт или приложение для личного использования/целей за последние 30 дней? </t>
  </si>
  <si>
    <t>Допускается более одного ответа, которые не требуют пояснений</t>
  </si>
  <si>
    <t xml:space="preserve">Акыркы 30 күндүн ичинде жеке колдонуу/максат үчүн веб-сайт же колдонмо аркылуу төмөндөгү кайсы кызматтарды сатып алдыңыз же жазылдыңыз? </t>
  </si>
  <si>
    <t>Бирден ашык жооп берүүгө жол берилет, түшүндүрмөсүз</t>
  </si>
  <si>
    <t>ecom10_x</t>
  </si>
  <si>
    <t>Башка колдонмолор (мисалы, тил үйрөнүүгө, саякаттоого, аба ырайына) (акысыз колдонмолордон тышкары), көрсөтүңүз</t>
  </si>
  <si>
    <t>Другие приложения (например, связанные с изучением языков, путешествиями, погодой) (кроме бесплатных приложений), укажите</t>
  </si>
  <si>
    <t>Other apps (e.g., related to learning languages, travelling, weather) (excluding free apps), specify</t>
  </si>
  <si>
    <t>Башка физикалык буюмдар, көрсөтүңүз</t>
  </si>
  <si>
    <t>Другие физические товары, укажите</t>
  </si>
  <si>
    <t>Other physical goods, specify</t>
  </si>
  <si>
    <t xml:space="preserve">Through what channels have you purchased these goods and services online for private use/purpose in the last 30 days? </t>
  </si>
  <si>
    <t xml:space="preserve">По каким каналам вы приобрели эти товары и услуги онлайн для личного использования/целей за последние 30 дней? </t>
  </si>
  <si>
    <t xml:space="preserve">Акыркы 30 күндө бул товарларды жана кызматтарды жеке колдонуу/максат үчүн кайсы каналдар аркылуу онлайн сатып алдыңыз? </t>
  </si>
  <si>
    <t>ecom11_</t>
  </si>
  <si>
    <t>ecom11_x</t>
  </si>
  <si>
    <t>ecom12_</t>
  </si>
  <si>
    <t xml:space="preserve">How did you make payment for goods or services ordered over the Internet for your private use in the last 30 days? </t>
  </si>
  <si>
    <t xml:space="preserve">Как вы оплачивали товары или услуги, заказанные через Интернет для личного использования в течение последних 30 дней? </t>
  </si>
  <si>
    <t xml:space="preserve">Акыркы 30 күндүн ичинде жеке колдонууңуз үчүн Интернет аркылуу буйрутмаланган товарлар же кызматтар үчүн төлөмдү кантип жасадыңыз? </t>
  </si>
  <si>
    <t>ecom12_x</t>
  </si>
  <si>
    <t>ecom13_</t>
  </si>
  <si>
    <t>ecom13_x</t>
  </si>
  <si>
    <t xml:space="preserve">How were the goods or services ordered over the Internet for your private use delivered in the last 30 days? </t>
  </si>
  <si>
    <t xml:space="preserve">Как были доставлены товары или услуги, заказанные через Интернет для вашего личного пользования, за последние 30 дней? </t>
  </si>
  <si>
    <t xml:space="preserve">Акыркы 30 күндө жеке колдонууңуз үчүн Интернет аркылуу буйрутмаланган товарлар же кызматтар кандайча жеткирилди? </t>
  </si>
  <si>
    <t>How much did you spend on ordering goods or services online for private use in the last 30 days?</t>
  </si>
  <si>
    <t>Сколько вы потратили на онлайн-заказы товаров или услуг для личного пользования за последние 30 дней?</t>
  </si>
  <si>
    <t>Акыркы 30 күндүн ичинде жеке колдонуу үчүн товарларга же кызматтарга онлайн заказ кылууга канча акча короттуңуз?</t>
  </si>
  <si>
    <t>ecom14</t>
  </si>
  <si>
    <t>ecom14c</t>
  </si>
  <si>
    <t>CURRENCY_ECOM</t>
  </si>
  <si>
    <t>select_one CURRENCY_ECOM</t>
  </si>
  <si>
    <t>В какой валюте ?</t>
  </si>
  <si>
    <t>Кайсы валютада?</t>
  </si>
  <si>
    <t>Reasons NOT to shop online in the last 30 days</t>
  </si>
  <si>
    <t>Причины НЕ совершать покупки в Интернете в течение последних 30 дней</t>
  </si>
  <si>
    <t>Акыркы 30 күндүн ичинде онлайн сатып албоо себептери</t>
  </si>
  <si>
    <t>ecom15</t>
  </si>
  <si>
    <t>ecom15_x</t>
  </si>
  <si>
    <t>Clothes (including sport clothing), shoes or accessories (e.g., bags, jewellery)</t>
  </si>
  <si>
    <t>Sport goods and equipment (excluding sport clothing, very specific clothes and shoes, e.g., shoes for skiing should be included in this category)</t>
  </si>
  <si>
    <t>Children toys or childcare items (e.g., nappies, bottles, baby strollers)</t>
  </si>
  <si>
    <t>Furniture, home accessories (e.g., carpets curtains) or gardening products (e.g. tools, plants)</t>
  </si>
  <si>
    <t>Music as CDs, vinyls etc.</t>
  </si>
  <si>
    <t>Films or series as DVDs, Blu-ray etc.</t>
  </si>
  <si>
    <t>Printed books, magazines, or newspapers</t>
  </si>
  <si>
    <t>Computers, tablets, mobile phones or accessories</t>
  </si>
  <si>
    <t>Physical computer games and video games e.g., installed through DVDs</t>
  </si>
  <si>
    <t>Physical computer software e.g., installed through DVDs (including updates and paid applications, excluding games)</t>
  </si>
  <si>
    <t>Consumer electronics (e.g., TV sets, stereos, cameras) or household appliances (e.g., washing machines)</t>
  </si>
  <si>
    <t>Medicine or dietary supplements such as vitamins (online renewals of prescriptions is not included)</t>
  </si>
  <si>
    <t>Deliveries from restaurants, fast-food chains, catering services (Includes meals ordered online from a restaurant and delivered to the customer or picked up by the customer from a restaurant as take-away)</t>
  </si>
  <si>
    <t>Food, groceries, alcohol, and tobacco products (Different from the previous option, this one means the mainly of primary (or partially treated) ingredients and not ready-to-eat meals)</t>
  </si>
  <si>
    <t>Cosmetics or beauty</t>
  </si>
  <si>
    <t>Cleaning products or personal hygiene products (e.g., toothbrushes, handkerchiefs, washing detergents, cleaning cloths)</t>
  </si>
  <si>
    <t>Bicycles, mopeds, cars or other vehicles or their spare parts</t>
  </si>
  <si>
    <t>Printed tickets for entertainment events (sporting events, theater performances, concerts, etc.)</t>
  </si>
  <si>
    <t>Photographic, telecommunication and optical equipment</t>
  </si>
  <si>
    <t>Printed tickets for travel</t>
  </si>
  <si>
    <t>Одежда (включая спортивную одежду), обувь или аксессуары (например, сумки, украшения)</t>
  </si>
  <si>
    <t>Спортивные товары и оборудование (за исключением спортивной одежды, в эту категорию следует включить очень специфическую одежду и обувь, например, обувь для катания на лыжах)</t>
  </si>
  <si>
    <t>Детские игрушки или предметы ухода за детьми (например, подгузники, бутылочки, детские коляски)</t>
  </si>
  <si>
    <t>Мебель, аксессуары для дома (например, ковры, шторы) или товары для сада (например, инструменты, растения)</t>
  </si>
  <si>
    <t>Музыка на CD-дисках, винилах и т. д.</t>
  </si>
  <si>
    <t>Фильмы или сериалы на DVD, Blu-ray дисках и т. д.</t>
  </si>
  <si>
    <t>Печатные книги, журналы или газеты</t>
  </si>
  <si>
    <t>Компьютеры, планшеты, мобильные телефоны или аксессуары к ним</t>
  </si>
  <si>
    <t>Физические компьютерные игры и видеоигры, например, установленные с DVD-дисков</t>
  </si>
  <si>
    <t>Физическое компьютерное программное обеспечение, например, установленное с помощью DVD-дисков (включая обновления и платные приложения, за исключением игр)</t>
  </si>
  <si>
    <t>Бытовая электроника (например, телевизоры, стереосистемы, камеры) или бытовая техника (например, стиральные машины)</t>
  </si>
  <si>
    <t>Лекарства или пищевые добавки, такие как витамины (выписка онлайн-рецептов не включать)</t>
  </si>
  <si>
    <t>Доставки из ресторанов, сетей быстрого питания, кейтеринговых услуг (Включает в себя блюда, заказанные онлайн из ресторана и доставленные покупателю или забранные покупателем из ресторана на вынос)</t>
  </si>
  <si>
    <t>Еда, бакалейные товары, алкоголь и табачные изделия (в отличие от предыдущего варианта, этот вариант подразумевает в основном первичные (или частично обработанные) ингредиенты, а не готовые к употреблению блюда)</t>
  </si>
  <si>
    <t>Косметика или средства ухода</t>
  </si>
  <si>
    <t>Чистящие средства или средства личной гигиены (например, зубные щетки, носовые платки, моющие средства, чистящие салфетки)</t>
  </si>
  <si>
    <t>Велосипеды, мопеды, автомобили или другие транспортные средства или их запасные части</t>
  </si>
  <si>
    <t>Распечатанные билеты на развлекательные мероприятия (спортивные мероприятия, театральные представления, концерты и т.д.)</t>
  </si>
  <si>
    <t>Фотографическое, телекоммуникационное и оптическое оборудование</t>
  </si>
  <si>
    <t>Распечатанные билеты на путешествия</t>
  </si>
  <si>
    <t>Кийим-кече (анын ичинде спорттук кийим), бут кийим же аксессуарлар (мисалы, сумкалар, зергер буюмдар)</t>
  </si>
  <si>
    <t>Спорттук буюмдар жана шаймандар (спорттук кийимдерди, өзгөчө кийимдерди жана бут кийимдерди кошпогондо, мисалы, лыжа тебүү үчүн бут кийимдер бул категорияга киргизилиши керек)</t>
  </si>
  <si>
    <t>Балдар оюнчуктары же балдарга кам көрүү буюмдары (мисалы, жалаяктар, бөтөлкөлөр, коляскалар)</t>
  </si>
  <si>
    <t>Эмерек, үй аксессуарлары (мисалы, килем пардалары) же багбанчылык буюмдары (мисалы, шаймандар, өсүмдүктөр)</t>
  </si>
  <si>
    <t>CDге жазылган музыка, винил ж.б.</t>
  </si>
  <si>
    <t>DVD, Blu-ray сыяктуу дискттерге жазылган тасмалар же сериалдар</t>
  </si>
  <si>
    <t>Басылган китептер, журналдар же гезиттер</t>
  </si>
  <si>
    <t>Компьютерлер, планшеттер, уюлдук телефондор же аксессуарлар</t>
  </si>
  <si>
    <t>Физикалык компьютердик оюндар жана видео оюндар, мисалы, DVD аркылуу орнотулган</t>
  </si>
  <si>
    <t>Физикалык компьютердик программалык камсыздоо, мисалы, DVD аркылуу орнотулган (анын ичинде жаңыртуулар жана акы төлөнүүчү тиркемелер, оюндарды кошпогондо)</t>
  </si>
  <si>
    <t>Керектөөчү электроника (мисалы, телевизорлор, стерео, камералар) же тиричилик техникалары (мисалы, кир жуугуч машиналар)</t>
  </si>
  <si>
    <t>Дары же витаминдер сыяктуу тамак-аш кошулмалары (онлайн рецепттер камтылган эмес)</t>
  </si>
  <si>
    <t>Ресторандардан, фаст-фуд түйүндөрүнөн, тамактануу кызматтарынан жеткирүү (ресторандан онлайн заказ кылынган жана кардарга жеткирилген же кардар ресторандан алып кетүүчү тамактарды камтыйт)</t>
  </si>
  <si>
    <t>Тамак-аш, азык-түлүк, алкоголдук жана тамеки буюмдары (Мурунку варианттан айырмаланып, бул негизинен баштапкы (же жарым-жартылай иштетилген) ингредиенттерди билдирет жана даяр тамактар эмес)</t>
  </si>
  <si>
    <t>Косметика же сулуулук буюмдары</t>
  </si>
  <si>
    <t>Тазалоочу каражаттар же жеке гигиена каражаттары (мисалы, тиш щеткалары, бет аарчылар, жуугучтар, тазалоочу чүпүрөктөр)</t>
  </si>
  <si>
    <t>Велосипеддер, мопеддер, автомобилдер же башка транспорт каражаттары же алардын запастык бөлүктөрү</t>
  </si>
  <si>
    <t>Көңүл ачуу иш-чараларына (спорттук иш-чаралар, театралдык спектаклдер, концерттер ж.б.у.с.) басылган билеттер</t>
  </si>
  <si>
    <t>Фото, телекоммуникация жана оптикалык жабдуулар</t>
  </si>
  <si>
    <t>Саякатка билеттер</t>
  </si>
  <si>
    <t>select_multiple LIST_SERVICES</t>
  </si>
  <si>
    <t>LIST_SERVICES</t>
  </si>
  <si>
    <t>Music as a streaming service or downloads</t>
  </si>
  <si>
    <t>Films or series as streaming service or downloads</t>
  </si>
  <si>
    <t>e-books, online magazines, or online newspapers</t>
  </si>
  <si>
    <t>Games online or as downloads for smartphones, tablets, computers, or consoles</t>
  </si>
  <si>
    <t>Computer, tablets, mobile phones software as downloads including upgrades</t>
  </si>
  <si>
    <t>Apps related to health or fitness (excluding free apps)</t>
  </si>
  <si>
    <t>Digital tickets for entertainment events (sporting events, theater performances, concerts, etc.)</t>
  </si>
  <si>
    <t>Digital tickets for travel (excluding taxi services)</t>
  </si>
  <si>
    <t>Taxi services</t>
  </si>
  <si>
    <t>Household services (e.g., cleaning, babysitting, repair work, gardening)</t>
  </si>
  <si>
    <t>Subscriptions to electricity, water or heating supply, waste disposal or similar services</t>
  </si>
  <si>
    <t>Subscriptions to the internet or mobile phone connections</t>
  </si>
  <si>
    <t>Buy insurance policies, including travel insurance, also as a package together with e.g., a plane ticket</t>
  </si>
  <si>
    <t>Take a loan, mortgage or arrange credit from banks or other financial providers</t>
  </si>
  <si>
    <t>Buy or sell shares, bonds, units in funds or other financial assets</t>
  </si>
  <si>
    <t>Музыка как стриминговый сервис или загрузки</t>
  </si>
  <si>
    <t>Фильмы или сериалы в виде стримингового сервиса или загрузки</t>
  </si>
  <si>
    <t>Электронные книги, онлайн-журналы или интернет-газеты</t>
  </si>
  <si>
    <t>Игры онлайн или в виде загрузки для смартфонов, планшетов, компьютеров или консолей</t>
  </si>
  <si>
    <t>Программное обеспечение для компьютеров, планшетов, мобильных телефонов в виде загрузок, включая обновления</t>
  </si>
  <si>
    <t>Приложения, связанные со здоровьем или фитнесом (кроме бесплатных приложений)</t>
  </si>
  <si>
    <t>Цифровые билеты на развлекательные мероприятия (спортивные мероприятия, театральные представления, концерты и т.д.)</t>
  </si>
  <si>
    <t>Цифровые билеты на проезд (кроме услуг такси)</t>
  </si>
  <si>
    <t>Услуги такси</t>
  </si>
  <si>
    <t>Бытовые услуги (например, уборка, присмотр за детьми, ремонтные работы, садоводство)</t>
  </si>
  <si>
    <t>Заключение договора на электро-, водо- или теплоснабжение, вывоз мусора или аналогичные услуги</t>
  </si>
  <si>
    <t>Подписка на Интернет или мобильную телефонную связь</t>
  </si>
  <si>
    <t>Приобретение страхового полиса, включая туристическую страховку, а также в пакете, например, с билетом на самолет</t>
  </si>
  <si>
    <t>Получение кредита, ипотеки или подача заявки на кредит в банках или других финансовых учреждениях</t>
  </si>
  <si>
    <t>Покупка или продажа акций, облигаций, паи фондов или других финансовых активов</t>
  </si>
  <si>
    <t>Электрондук китептер, онлайн журналдар же онлайн гезиттер</t>
  </si>
  <si>
    <t>Ден соолукка же фитнеске байланыштуу колдонмолор (акысыз колдонмолордон тышкары)</t>
  </si>
  <si>
    <t>Саякатка санариптик билеттер (такси кызматтарынан тышкары)</t>
  </si>
  <si>
    <t>Такси кызматтары</t>
  </si>
  <si>
    <t>Электр, суу же жылуулук менен камсыздоо, таштандыларды чыгаруу же ушул сыяктуу кызматтарга жазылуу</t>
  </si>
  <si>
    <t>Интернетке же уюлдук байланышка жазылуулар</t>
  </si>
  <si>
    <t>Камсыздандыруу полистерин, анын ичинде саякат камсыздандыруусун, мисалы, учак билети менен бирге пакет катары сатып алынган</t>
  </si>
  <si>
    <t>Музыка стриминг кызмат аркылуу же жүктөө катары</t>
  </si>
  <si>
    <t>Тасмалар же сериалдар стриминг кызмат аркылуу же жүктөп алуу катары</t>
  </si>
  <si>
    <t>Онлайн же смартфондор, планшеттер, компьютерлер же консолдор үчүн жүктөлүп алынган оюндар</t>
  </si>
  <si>
    <t>Компьютер, планшеттер, уюлдук телефондор үчүн жүктөлүүчү программалык камсыздоолор, анын ичинде жаңыртуу</t>
  </si>
  <si>
    <t>Көңүл ачуу иш-чараларына санариптик билеттер (спорттук иш-чаралар, театр оюндары, концерттер ж.б.у.с.)</t>
  </si>
  <si>
    <t>Тиричилик кызматтары (мисалы, тазалоо, бала кароо, оңдоо иштери, багбанчылык)</t>
  </si>
  <si>
    <t>Банктардан же башка каржылык уюмдурдан насыя, ипотека алуу же насыя алууга билдирме берүү</t>
  </si>
  <si>
    <t>Акцияларды, облигацияларды, фонддордогу үлүштөрдү же башка финансылык активдерди сатып алуу же сатуу</t>
  </si>
  <si>
    <t>select_multiple LIST_CHANNELS</t>
  </si>
  <si>
    <t>LIST_CHANNELS</t>
  </si>
  <si>
    <t>Social networks and messengers (Instagram, Tik Tok, Facebook, Telegram, WhatsApp)</t>
  </si>
  <si>
    <t>Marketplaces (for example: Wildberries, Kivano, Ozon, Aliexpress, MAX.KG, NambaFood and others)</t>
  </si>
  <si>
    <t>Proprietary online stores and enterprise apps (e.g., Globus, Kulikovsky, Asia, etc.)</t>
  </si>
  <si>
    <t>Социальные сети и мессенджеры (Instagram, Tik Tok, Facebook, Telegram, WhatsApp)</t>
  </si>
  <si>
    <t>Маркетплейсы (например: Wildberry, Kivano, Ozon, Aliexpress, MAX.KG, NambaFood и другие)</t>
  </si>
  <si>
    <t>Собственные интернет-магазины и корпоративные приложения (например, «Глобус», «Куликовский», «Азия» и т. д.)</t>
  </si>
  <si>
    <t>Социалдык тармактар жана мессенджерлер (Instagram, Tik Tok, Facebook, Telegram, WhatsApp)</t>
  </si>
  <si>
    <t>Маркетплейстер (мисалы: Wildberries, Kivano, Ozon, Aliexpress, MAX.KG, NambaFood жана башкалар)</t>
  </si>
  <si>
    <t>Менчик онлайн дүкөндөр жана ишкана колдонмолору (мисалы, Globus, Kulikovsky, Азия, ж.б.)</t>
  </si>
  <si>
    <t>select_multiple PAYMENT_SERVICES</t>
  </si>
  <si>
    <t>PAYMENT_SERVICES</t>
  </si>
  <si>
    <t>Credit card payment online</t>
  </si>
  <si>
    <t>Payment by debit card online</t>
  </si>
  <si>
    <t>Payment in cash on receipt of delivery</t>
  </si>
  <si>
    <t>Payment in cash after picking up the item in person</t>
  </si>
  <si>
    <t>Payment via mobile banking (e.g. Mbank, Bakai24, Elsom)</t>
  </si>
  <si>
    <t>Payment via digital wallets (e.g. O!Money, Umai, Namba One, Balance)</t>
  </si>
  <si>
    <t>Use of online payment services (e.g. QIWI, PayPal, Google Checkout)</t>
  </si>
  <si>
    <t>Mobile payment from account (banking account is connected to cell phone number)</t>
  </si>
  <si>
    <t>Оплата кредитной картой онлайн</t>
  </si>
  <si>
    <t>Оплата дебетовой картой онлайн</t>
  </si>
  <si>
    <t>Оплата наличными при получении доставкой</t>
  </si>
  <si>
    <t>Оплата наличными после того, как забрали товар лично</t>
  </si>
  <si>
    <t>Оплата через мобильный банкинг (например Мбанк, Bakai24, Элсом)</t>
  </si>
  <si>
    <t>Оплата через цифровые кошельки (например, О!Деньги, «Умай», “Namba One”, “Balance”)</t>
  </si>
  <si>
    <t>Использование онлайновых платежных услуг (например, QIWI, PayPal, Google Checkout)</t>
  </si>
  <si>
    <t>Мобильный платеж со счета (банковский счет соединен с номером мобильного телефона)</t>
  </si>
  <si>
    <t>Другое, уточните</t>
  </si>
  <si>
    <t>Кредит карта менен онлайн төлөм</t>
  </si>
  <si>
    <t>Дебеттик карта менен онлайн төлөм</t>
  </si>
  <si>
    <t>Жеткирүүнү алгандан кийин накталай төлөм</t>
  </si>
  <si>
    <t>Буюмду жеке өзү барып алгандан кийин накталай төлөм</t>
  </si>
  <si>
    <t>Мобилдик банкинг аркылуу төлөө (мисалы, Mbank, Bakai24, Elsom)</t>
  </si>
  <si>
    <t>Санарип капчыктар аркылуу төлөө (мисалы, O!Money, Umai, Namba One, Balance)</t>
  </si>
  <si>
    <t>Онлайн төлөм кызматтарын колдонуу (мисалы, QIWI, PayPal, Google Checkout)</t>
  </si>
  <si>
    <t>Эсептен мобилдик төлөм (банк эсеби уюлдук телефон номерине туташтырылган)</t>
  </si>
  <si>
    <t>select_multiple ORDERED_SERVICES</t>
  </si>
  <si>
    <t>ORDERED_SERVICES</t>
  </si>
  <si>
    <t>Door-to-door delivery (delivery directly to the buyer using normal postal services or other forms of delivery)</t>
  </si>
  <si>
    <t>Self-delivery from a point of sale or service (pickup at a retail outlet or point of sale or point of service)</t>
  </si>
  <si>
    <t>Online/electronic delivery by downloading from a website or using an app, software, or other device (e.g., shopping with an embedded app, using a streaming service, etc.)</t>
  </si>
  <si>
    <t>Доставка «от двери до двери» (доставка непосредственно покупателю с использованием обычных почтовых служб или других форм доставки)</t>
  </si>
  <si>
    <t>Самовывоз из точки продаж или сервиса (самовывоз в торговой точке или точке продаж или пункте обслуживания)</t>
  </si>
  <si>
    <t>Онлайн/электронная доставка путем загрузки с веб-сайта или с помощью приложения, программного обеспечения или другого устройства (например, покупка с помощью встроенного приложения, использование стримингового сервиса и т. д.)</t>
  </si>
  <si>
    <t>“Эшиктен эшикке” жеткирүү (кадимки почта кызматтарын же жеткирүүнүн башка түрлөрүн колдонуу менен сатып алуучуга түздөн-түз жеткирүү)</t>
  </si>
  <si>
    <t>Соода же тейлөө пунктунан алып кетүү (чекене соода түйүнүнөн же соода түйүнүнөн же тейлөө пунктунан алып кетүү)</t>
  </si>
  <si>
    <t>Вебсайт же колдонмо, программалар же башка түзмөктөр аркылуу онлайн/электрондук жүктөп алуу (мисалы, кыстарылган колдонмо аркылуу сатып алуу, стриминг кызматты колдонуу ж.б.)</t>
  </si>
  <si>
    <t>select_one REASON_NOTSHOP</t>
  </si>
  <si>
    <t>REASON_NOTSHOP</t>
  </si>
  <si>
    <t>Lack of interest/There was no need to buy online in the last 3 months</t>
  </si>
  <si>
    <t>Preference for shopping in person</t>
  </si>
  <si>
    <t>Concerns about security considerations (e.g., providing debit or credit card information)</t>
  </si>
  <si>
    <t>Concerns about privacy considerations (e.g., about sharing personal data)</t>
  </si>
  <si>
    <t>Concerns about technical considerations (e.g., websites, payment, or delivery)</t>
  </si>
  <si>
    <t>Concerns about cost of delivery of goods</t>
  </si>
  <si>
    <t>Distrust (e.g., regarding reliability, warranties, or the specifics of receiving and returning the product)</t>
  </si>
  <si>
    <t>Lack of confidence, knowledge, or skills of ordering online</t>
  </si>
  <si>
    <t>Foreign retailer did not sell my need to my country</t>
  </si>
  <si>
    <t>Отсутствие интереса/Не было необходимости покупать онлайн в течение последних 3 месяцев</t>
  </si>
  <si>
    <t>Предпочтение совершать покупки лично</t>
  </si>
  <si>
    <t>Опасения по поводу вопросов безопасности (например, предоставление информации о дебетовой или кредитной карте)</t>
  </si>
  <si>
    <t>Обеспокоенность по поводу вопросов конфиденциальности (например, по поводу обмена личными данными)</t>
  </si>
  <si>
    <t>Опасения по поводу технических вопросов (например, веб-сайтов, оплаты или доставки)</t>
  </si>
  <si>
    <t>Беспокойство по поводу стоимости доставки товаров</t>
  </si>
  <si>
    <t>Недоверие (например, относительно надежности, гарантий или особенностей получения и возврата товара)</t>
  </si>
  <si>
    <t>Недостаток уверенности, знаний или навыков онлайн-заказа</t>
  </si>
  <si>
    <t>Иностранный розничный торговец не продал мои товары в мою страну</t>
  </si>
  <si>
    <t>Кызыкчылыктын жоктугу/Акыркы 3 айда онлайн сатып алуунун кереги жок болчу</t>
  </si>
  <si>
    <t>Жеке сатып алууларды жасоого артыкчылык берүү</t>
  </si>
  <si>
    <t>Коопсуздук маселелери боюнча тынчсыздануулар (мисалы, дебеттик же кредиттик карта маалыматын берүү)</t>
  </si>
  <si>
    <t>Купуялыкка байланыштуу тынчсыздануулар (мисалы, жеке маалыматтарды бөлүшүү жөнүндө)</t>
  </si>
  <si>
    <t>Техникалык маселелер (мисалы, веб-сайттар, төлөм же жеткирүү)</t>
  </si>
  <si>
    <t>Товарларды жеткирүүнүн наркы жөнүндө тынчсыздануулар</t>
  </si>
  <si>
    <t>Ишенбөө (мисалы, ишенимдүүлүк, кепилдиктер же продуктуну алуу жана кайтаруу өзгөчөлүктөрү жөнүндө)</t>
  </si>
  <si>
    <t>Интернетте буйрутма берүүгө ишенимдин, билимдин же көндүмдөрдүн жоктугу</t>
  </si>
  <si>
    <t>Чет элдик сатуучу менин муктаждыгымды өлкөмө саткан жок</t>
  </si>
  <si>
    <t>selected(${ecom9_},'21')</t>
  </si>
  <si>
    <t>selected(${ecom10_},'16')</t>
  </si>
  <si>
    <t>selected(${ecom11_},'4')</t>
  </si>
  <si>
    <t>selected(${ecom12_},'9')</t>
  </si>
  <si>
    <t>selected(${ecom13_},'4')</t>
  </si>
  <si>
    <t>${ecom15}=10</t>
  </si>
  <si>
    <t>${ecom8}=1</t>
  </si>
  <si>
    <t>${ecom8}=2</t>
  </si>
  <si>
    <t>PARENTS_WHERE</t>
  </si>
  <si>
    <t>int(${fmidageupd})&gt;=15</t>
  </si>
  <si>
    <t>select_multiple LIST_GOODS2</t>
  </si>
  <si>
    <t>LIST_GOODS2</t>
  </si>
  <si>
    <t>${agreement}=100</t>
  </si>
  <si>
    <t>.&gt;1900 and .&lt;2006</t>
  </si>
  <si>
    <t>${fmid_max}+count(${new_})</t>
  </si>
  <si>
    <t>fmdnewindex</t>
  </si>
  <si>
    <t>if(position(..)&gt;${fmid_max}, (${fmid_max}+count(${new_})+1)-position(..),0)</t>
  </si>
  <si>
    <t>caldays</t>
  </si>
  <si>
    <t>int(decimal-date-time(today()) - decimal-date-time(${dob}))</t>
  </si>
  <si>
    <t>if(position(..)&lt;=${fmid_max},position(..),indexed-repeat(${new_fmid}, ${new_}, ${fmdnewindex}))</t>
  </si>
  <si>
    <t>if(position(..)&lt;=${fmid_max},indexed-repeat(${fmidname}, ${old_}, position(..)),indexed-repeat(${name}, ${new_}, ${fmdnewindex}))</t>
  </si>
  <si>
    <t>if(position(..)&lt;=${fmid_max}, indexed-repeat(${fmiddays}, ${old_}, position(..)),indexed-repeat(${caldays}, ${new_}, ${fmdnewindex}))</t>
  </si>
  <si>
    <t>left_reas</t>
  </si>
  <si>
    <t>if(position(..)&lt;=${fmid_max},indexed-repeat(${leave_reason_}, ${old_}, position(..)), 0)</t>
  </si>
  <si>
    <t>updgr</t>
  </si>
  <si>
    <t>if(position(..)&lt;=${fmid_max},indexed-repeat(${fmidage}, ${old_}, position(..)), indexed-repeat(${age}, ${new_}, ${fmdnewindex}))</t>
  </si>
  <si>
    <t>${left_reas}!=3 and ${left_reas}!=2 and ${left_reas}!=1</t>
  </si>
  <si>
    <t>Not</t>
  </si>
  <si>
    <t>(count-selected(.) = 1 and selected(., '98')) or (not(selected(., '98')))</t>
  </si>
  <si>
    <t>indexed-repeat(${name}, ${new_}, 1)</t>
  </si>
  <si>
    <t>pnew1</t>
  </si>
  <si>
    <t>pnew2</t>
  </si>
  <si>
    <t>pnew3</t>
  </si>
  <si>
    <t>pnew4</t>
  </si>
  <si>
    <t>pnew5</t>
  </si>
  <si>
    <t>pnew6</t>
  </si>
  <si>
    <t>HH_ADULT_UPD</t>
  </si>
  <si>
    <t>${pnew1}</t>
  </si>
  <si>
    <t>${pnew2}</t>
  </si>
  <si>
    <t>${pnew3}</t>
  </si>
  <si>
    <t>${pnew4}</t>
  </si>
  <si>
    <t>${pnew5}</t>
  </si>
  <si>
    <t>pnewno1</t>
  </si>
  <si>
    <t>pnewno2</t>
  </si>
  <si>
    <t>pnewno3</t>
  </si>
  <si>
    <t>pnewno4</t>
  </si>
  <si>
    <t>pnewno5</t>
  </si>
  <si>
    <t>pnewno6</t>
  </si>
  <si>
    <t>indexed-repeat(${new_fmid}, ${new_}, 1)</t>
  </si>
  <si>
    <t>${pnewno1}</t>
  </si>
  <si>
    <t>${pnewno2}</t>
  </si>
  <si>
    <t>${pnewno3}</t>
  </si>
  <si>
    <t>${pnewno4}</t>
  </si>
  <si>
    <t>${pnewno5}</t>
  </si>
  <si>
    <t>select_one HH_ADULT_UPD</t>
  </si>
  <si>
    <t>indexed-repeat(${name}, ${new_}, 2)</t>
  </si>
  <si>
    <t>indexed-repeat(${name}, ${new_}, 3)</t>
  </si>
  <si>
    <t>indexed-repeat(${name}, ${new_}, 4)</t>
  </si>
  <si>
    <t>indexed-repeat(${name}, ${new_}, 5)</t>
  </si>
  <si>
    <t>indexed-repeat(${name}, ${new_}, 6)</t>
  </si>
  <si>
    <t>indexed-repeat(${new_fmid}, ${new_}, 2)</t>
  </si>
  <si>
    <t>indexed-repeat(${new_fmid}, ${new_}, 3)</t>
  </si>
  <si>
    <t>indexed-repeat(${new_fmid}, ${new_}, 4)</t>
  </si>
  <si>
    <t>indexed-repeat(${new_fmid}, ${new_}, 5)</t>
  </si>
  <si>
    <t>indexed-repeat(${new_fmid}, ${new_}, 6)</t>
  </si>
  <si>
    <t>${pnew6}</t>
  </si>
  <si>
    <t>${pnewno6}</t>
  </si>
  <si>
    <t>.&lt;=100000</t>
  </si>
  <si>
    <t xml:space="preserve"> .&lt;=1000000</t>
  </si>
  <si>
    <t>.&lt;=10000000000</t>
  </si>
  <si>
    <t xml:space="preserve"> .&lt;=10000000000</t>
  </si>
  <si>
    <t xml:space="preserve"> .&lt;=100000</t>
  </si>
  <si>
    <t>roster_participate</t>
  </si>
  <si>
    <t>${agreement}=1 and ${roster_participate}=2</t>
  </si>
  <si>
    <t>Nazik</t>
  </si>
  <si>
    <t>Назик</t>
  </si>
  <si>
    <t>CATI_11</t>
  </si>
  <si>
    <t>CATI_12</t>
  </si>
  <si>
    <t>CATI_13</t>
  </si>
  <si>
    <t>Maryam</t>
  </si>
  <si>
    <t>Марям</t>
  </si>
  <si>
    <t>Keremet</t>
  </si>
  <si>
    <t>Amanat</t>
  </si>
  <si>
    <t>Керемет</t>
  </si>
  <si>
    <t>ADMINISTRATIVE-TERRITORIAL REFORM</t>
  </si>
  <si>
    <t>АДМИНИСТРАТИВНО-ТЕРРИТОРИАЛЬНАЯ РЕФОРМА</t>
  </si>
  <si>
    <t>АДМИНИСТРАТИВДИК-АЙМАКТЫК РЕФОРМА</t>
  </si>
  <si>
    <t>atr_</t>
  </si>
  <si>
    <t>atr1</t>
  </si>
  <si>
    <t>Do you know about the administrative-territorial reform carried out in your region?</t>
  </si>
  <si>
    <t>atr_note</t>
  </si>
  <si>
    <t>In 2024, in the Kyrgyz Republic, an ADMINISTRATIVE TERRITORIAL REFORM (hereinafter – ATR) was carried out at the level of aiyl aimaks and cities, as a result of which the number of aiyl aimaks was reduced from 452 to 235, and the number of cities increased - a new city Shamalduu-Sai appeared in the Nooken district in the Jalal-Abad region.</t>
  </si>
  <si>
    <t>Как вы знаете, в 2024 году в Кыргызской Республике проведена АДМИНИСТРАТИВНО-ТЕРРИТОРИАЛЬНАЯ РЕФОРМА (далее – АТР) на уровне айыльных аймаков и городов, в результате чего количество айыльных аймаков сократилось из 452 до 235, а количество городов увеличилось – появился новый город Шамалдуу-Сай в Ноокенском районе в Джалал-Абадской области.</t>
  </si>
  <si>
    <t>Сизге белгилүү болгондой, 2024-жылы Кыргыз Республикасында айыл аймактарынын жана шаарларынын деңгээлинде АДМИНИСТРАТИВДИК-АЙМАКТЫК РЕФОРМА (мындан ары – ААР) жүргүзүлүп, анын натыйжасында айыл аймактарынын саны 452ден 235ке кыскарып, шаарлардын саны көбөйгөн. Жалал-Абад облусунун Ноокен районунда Шамалды-Сай жаңы шаары пайда болгон.</t>
  </si>
  <si>
    <t>Знаете ли вы об административно-территориальной реформе, проведённой в вашем регионе?</t>
  </si>
  <si>
    <t>Сиздин аймакта жүргүзүлүп жаткан административдик-аймактык реформа тууралуу билесизби?</t>
  </si>
  <si>
    <t>Did the reform affect you personally or your family members?</t>
  </si>
  <si>
    <t>Коснулась ли реформа вас лично или членов вашей семьи?</t>
  </si>
  <si>
    <t>Реформа жеке сизге же үй-бүлө мүчөлөрүңүзгө таасир тийгиздиби?</t>
  </si>
  <si>
    <t>atr2</t>
  </si>
  <si>
    <t>Do you think there was a need to conduct the ATR on such a scale?</t>
  </si>
  <si>
    <t>atr3</t>
  </si>
  <si>
    <t>Как вы думаете была ли потребность в проведении АТР в таком масштабе?</t>
  </si>
  <si>
    <t>Сиздин оюңузча, АРРди ушундай масштабда өткөрүүнүн зарылчылыгы бар беле?</t>
  </si>
  <si>
    <t>How has the ATR affected access to government and municipal services in your district/aimak?</t>
  </si>
  <si>
    <t>ATR4</t>
  </si>
  <si>
    <t>Access has improved significantly</t>
  </si>
  <si>
    <t>Access has improved slightly</t>
  </si>
  <si>
    <t>Access has not changed</t>
  </si>
  <si>
    <t>Access has worsened somewhat</t>
  </si>
  <si>
    <t>Access has worsened significantly</t>
  </si>
  <si>
    <t>Доступ значительно улучшился</t>
  </si>
  <si>
    <t>Доступ несколько улучшился</t>
  </si>
  <si>
    <t>Доступ не изменился</t>
  </si>
  <si>
    <t>Доступ несколько ухудшился</t>
  </si>
  <si>
    <t>Доступ значительно ухудшился</t>
  </si>
  <si>
    <t>Жеткиликтүүлүк кыйла начарлады</t>
  </si>
  <si>
    <t>Жеткиликтүүлүк кыйла жакшырды</t>
  </si>
  <si>
    <t>Жеткиликтүүлүк бир аз жакшырды</t>
  </si>
  <si>
    <t>Жеткиликтүүлүк өзгөргөн жок</t>
  </si>
  <si>
    <t>Жеткиликтүүлүк бир аз начарлап кетти</t>
  </si>
  <si>
    <t>select_one ATR4</t>
  </si>
  <si>
    <t>atr4</t>
  </si>
  <si>
    <t>Как АТР повлияла на доступ к государственным и муниципальным услугам в вашем районе/айылном аймаке?</t>
  </si>
  <si>
    <t>ААР сиздин районуңузда/аймагыңызда мамлекеттик жана муниципалдык кызматтардын жеткиликтүүлүгүнө кандай таасирин тийгизди?</t>
  </si>
  <si>
    <t>select_one ATR5</t>
  </si>
  <si>
    <t>atr5</t>
  </si>
  <si>
    <t>How do you evaluate the work of the local administration after the reform?</t>
  </si>
  <si>
    <t>Как вы оцениваете работу местной администрации после реформы?</t>
  </si>
  <si>
    <t>Реформадан кийин жергиликтүү администрациянын ишин кандай баалайсыз?</t>
  </si>
  <si>
    <t>ATR5</t>
  </si>
  <si>
    <t>Удовлетворительно</t>
  </si>
  <si>
    <t>Абдан жакшы</t>
  </si>
  <si>
    <t>Канааттандырарлык</t>
  </si>
  <si>
    <t>Абдан начар</t>
  </si>
  <si>
    <t>select_one ATR6</t>
  </si>
  <si>
    <t>atr6</t>
  </si>
  <si>
    <t>Do you think the reform carried out at the level of aiyl aimaks and cities will be able to change the economic situation in your village/city for the better?</t>
  </si>
  <si>
    <t>Как вы думаете реформа, проведенная на уровне айыльных аймаков и городов сможет изменить экономическую ситуацию в вашем селе/городе в лучшую сторону?</t>
  </si>
  <si>
    <t>Сиздин оюңузча, айылдык аймактардын жана шаарлардын деңгээлинде жүргүзүлүп жаткан реформа сиздин айылыңыздагы/шаарыңыздагы экономикалык абалды жакшы жакка өзгөртө алабы?</t>
  </si>
  <si>
    <t>ATR6</t>
  </si>
  <si>
    <t>Difficult to answer</t>
  </si>
  <si>
    <t>Yes, it will significantly improve the economic situation</t>
  </si>
  <si>
    <t>Yes, it will improve a little the economic situation</t>
  </si>
  <si>
    <t>No, it will not change the economic situation</t>
  </si>
  <si>
    <t>No, it will worsen the economic situation</t>
  </si>
  <si>
    <t>Да, значительно улучшит экономическую ситуацию</t>
  </si>
  <si>
    <t>Да, немного улучшит экономическую ситуацию</t>
  </si>
  <si>
    <t>Нет, не изменит экономическую ситуацию</t>
  </si>
  <si>
    <t>Нет, ухудшит экономическую ситуацию</t>
  </si>
  <si>
    <t>Затрудняюсь ответить</t>
  </si>
  <si>
    <t>Ооба, экономикалык абалды бир кыйла жакшыртат</t>
  </si>
  <si>
    <t>Ооба, экономикалык абалды бир аз жакшыртат</t>
  </si>
  <si>
    <t>Жок, экономикалык абалды өзгөртпөйт</t>
  </si>
  <si>
    <t>Жок, экономикалык абалды начарлатат</t>
  </si>
  <si>
    <t>Мага жооп берүү кыйын</t>
  </si>
  <si>
    <t>select_one ATR7</t>
  </si>
  <si>
    <t>atr7</t>
  </si>
  <si>
    <t>Do you think that the administrative-territorial reform has achieved its goals?</t>
  </si>
  <si>
    <t>Считаете ли вы, что административно-территориальная реформа достигла своих целей?</t>
  </si>
  <si>
    <t>Административдик-аймактык реформа өз максатына жетти деп ойлойсузбу?</t>
  </si>
  <si>
    <t>ATR7</t>
  </si>
  <si>
    <t>Yes, fully reached</t>
  </si>
  <si>
    <t>Yes, partially reached</t>
  </si>
  <si>
    <t>No, haven't reached</t>
  </si>
  <si>
    <t>Да, полностью достигла</t>
  </si>
  <si>
    <t>Да, частично достигла</t>
  </si>
  <si>
    <t>Нет, не достигла</t>
  </si>
  <si>
    <t>Ооба, толугу менен жетти</t>
  </si>
  <si>
    <t>Ооба, жарым-жартылай жетти</t>
  </si>
  <si>
    <t>Жок, жеткен жок</t>
  </si>
  <si>
    <t>select_one ATR8</t>
  </si>
  <si>
    <t>atr8</t>
  </si>
  <si>
    <t>Do you support the continuation of the ATR at the district/regional level in next stages?</t>
  </si>
  <si>
    <t xml:space="preserve">Поддерживаете ли Вы продолжение АТР на уровне районов/областей в последующих этапах? </t>
  </si>
  <si>
    <t xml:space="preserve">Сиз райондук/облустук деңгээлде кийинки этаптарда улантуу демилгесин колдойсузбу?
</t>
  </si>
  <si>
    <t>В некоторой степени</t>
  </si>
  <si>
    <t xml:space="preserve">Затрудняюсь ответить </t>
  </si>
  <si>
    <t>Кандайдыр бир деңгээлде</t>
  </si>
  <si>
    <t>EXPERIENCES AND IMPACT OF HEATWAVES</t>
  </si>
  <si>
    <t>ОПЫТ И ВЛИЯНИЕ АНОМАЛЬНОГО ПЕРИОДА ЖАРЫ</t>
  </si>
  <si>
    <t xml:space="preserve">ӨТӨ ЫСЫК МЕЗГИЛДИН ТААСИРИ ЖАНА ТАЖРЫЙБАСЫ </t>
  </si>
  <si>
    <t>hw_</t>
  </si>
  <si>
    <t>How has the frequency of heatwaves changed in the past 3-5 years?</t>
  </si>
  <si>
    <t>Насколько чаще или реже стали происходить периоды аномальной жары за последние 3-5 лет?</t>
  </si>
  <si>
    <t>Акыркы 3-5 жылда ысык мезгилдердин жыштыгы кандай өзгөрдү?</t>
  </si>
  <si>
    <t>hw1</t>
  </si>
  <si>
    <t>HW1</t>
  </si>
  <si>
    <t>Don’t know</t>
  </si>
  <si>
    <t>Significantly decreased</t>
  </si>
  <si>
    <t>Stayed the same</t>
  </si>
  <si>
    <t>Increased</t>
  </si>
  <si>
    <t>Significantly increased</t>
  </si>
  <si>
    <t>Значительно чаще</t>
  </si>
  <si>
    <t>Чаще</t>
  </si>
  <si>
    <t>Без изменений</t>
  </si>
  <si>
    <t>Реже</t>
  </si>
  <si>
    <t>Значительно реже</t>
  </si>
  <si>
    <t>Көбөйдү</t>
  </si>
  <si>
    <t>Ошол бойдон калды</t>
  </si>
  <si>
    <t>Азайды</t>
  </si>
  <si>
    <t>Бир кыйла азайды</t>
  </si>
  <si>
    <t>hw2</t>
  </si>
  <si>
    <t>Describe the most recent heatwave in your area (in the month of June 2024 to date)?</t>
  </si>
  <si>
    <t>Опишите самый аномальный период жары в вашем регионе (с июня 2024 г. по настоящее время)?</t>
  </si>
  <si>
    <t>Аймагыңыздагы эң акыркы ысык мезгилди (саратан) сүрөттөп бериңиз (2024-жылдын июнь айынан азыркы учурга чейин)?</t>
  </si>
  <si>
    <t>select_one HW1</t>
  </si>
  <si>
    <t>select_one HW2</t>
  </si>
  <si>
    <t>HW2</t>
  </si>
  <si>
    <t>Very hot and unbearable</t>
  </si>
  <si>
    <t>Hot and uncomfortable</t>
  </si>
  <si>
    <t>Warm but manageable</t>
  </si>
  <si>
    <t>Not particularly hot</t>
  </si>
  <si>
    <t>Очень жарко, невыносимо</t>
  </si>
  <si>
    <t>Жарко, очень некомфортно</t>
  </si>
  <si>
    <t>Жарковато, но терпимо</t>
  </si>
  <si>
    <t>Не особо жарко</t>
  </si>
  <si>
    <t>Абдан ысык, чыдагыс</t>
  </si>
  <si>
    <t>Ысык жана ыңгайсыз</t>
  </si>
  <si>
    <t>Ысык, бирок чыдоого болот</t>
  </si>
  <si>
    <t>Өзгөчө ысык эмес</t>
  </si>
  <si>
    <t>How many days did you experience the recent heatwave?</t>
  </si>
  <si>
    <t>Сколько дней вы испытывали недавний период аномальной жары?</t>
  </si>
  <si>
    <t>Акыркы ысык мезгили канча күнгө узарды?</t>
  </si>
  <si>
    <t>select_one HW3</t>
  </si>
  <si>
    <t>hw3</t>
  </si>
  <si>
    <t>HW3</t>
  </si>
  <si>
    <t>1-2 days</t>
  </si>
  <si>
    <t>3-5 days</t>
  </si>
  <si>
    <t>6-8 days</t>
  </si>
  <si>
    <t>More than 8 days</t>
  </si>
  <si>
    <t>1-2 дня</t>
  </si>
  <si>
    <t>3-5 дней</t>
  </si>
  <si>
    <t>6-8 дней</t>
  </si>
  <si>
    <t>Больше 8 дней</t>
  </si>
  <si>
    <t>Не заню</t>
  </si>
  <si>
    <t>1-2 күн</t>
  </si>
  <si>
    <t>3-5 күн</t>
  </si>
  <si>
    <t>6-8 күн</t>
  </si>
  <si>
    <t>8 күндөн ашык</t>
  </si>
  <si>
    <t>select_one HW4</t>
  </si>
  <si>
    <t>hw4</t>
  </si>
  <si>
    <t>How does the severity of the recent heatwave compare to the previous years?</t>
  </si>
  <si>
    <t>Насколько сильнее ощущалась эта жара по сравнению с предыдущими годами?</t>
  </si>
  <si>
    <t>Акыркы ысык мезгилинин катуулугу мурунку жылдарга салыштырмалуу кандай болду?</t>
  </si>
  <si>
    <t>HW4</t>
  </si>
  <si>
    <t>Гораздо сильнее</t>
  </si>
  <si>
    <t>Сильнее</t>
  </si>
  <si>
    <t>Примерно так же</t>
  </si>
  <si>
    <t>Слабее</t>
  </si>
  <si>
    <t>Гораздо слабее</t>
  </si>
  <si>
    <t>Бир топ күчтүү</t>
  </si>
  <si>
    <t>Күчтүү</t>
  </si>
  <si>
    <t>Мурункудай эле</t>
  </si>
  <si>
    <t>Анча олуттуу эмес</t>
  </si>
  <si>
    <t>Бир кыйла азыраак олуттуу</t>
  </si>
  <si>
    <t>Much worse</t>
  </si>
  <si>
    <t>Worse</t>
  </si>
  <si>
    <t>About the same</t>
  </si>
  <si>
    <t>Less severe</t>
  </si>
  <si>
    <t>Much less severe</t>
  </si>
  <si>
    <t>hw5</t>
  </si>
  <si>
    <t>Did the heatwave affect your daily activities?</t>
  </si>
  <si>
    <t>HW5</t>
  </si>
  <si>
    <t xml:space="preserve">Повлиял ли последний период аномальной жары на вашу повседневную деятельность?
</t>
  </si>
  <si>
    <t>Акыркы ысык мезгили күнүмдүк иштериңизге таасирин тийгиздиби?</t>
  </si>
  <si>
    <t>Couldn’t cook food</t>
  </si>
  <si>
    <t>Couldn’t do other domestic chores as usual (washing, cleaning etc.)</t>
  </si>
  <si>
    <t>Couldn’t go out to buy food</t>
  </si>
  <si>
    <t>Couldn’t go out to buy medicines or other essential goods</t>
  </si>
  <si>
    <t>Couldn’t bring children to kindergarten, activities, etc.</t>
  </si>
  <si>
    <t>If yes, please specify:</t>
  </si>
  <si>
    <t>Если да, то как повлияла?</t>
  </si>
  <si>
    <t>Ооба болсо, кандай таасир этти?</t>
  </si>
  <si>
    <t>Не могли готовить еду</t>
  </si>
  <si>
    <t>Не могли выполнять, как обычно, другие домашние дела (стирка, уборка и т.д.)</t>
  </si>
  <si>
    <t>Не могли выйти, чтобы купить продукты питания</t>
  </si>
  <si>
    <t>Не могли выйти, чтобы купить лекарства или другие товары первой необходимости</t>
  </si>
  <si>
    <t>Не могли отвести детей в детский сад, на занятия и т.д.</t>
  </si>
  <si>
    <t>Тамак жасай албай койдум</t>
  </si>
  <si>
    <t>Адаттагыдай башка үй жумуштарын кыла албай койдум (жуу, тазалоо ж.б.)</t>
  </si>
  <si>
    <t>Тамак-аш сатып алууга чыга албадым</t>
  </si>
  <si>
    <t>Дары-дармек же башка керектүү буюмдарды сатып алууга чыга албадым</t>
  </si>
  <si>
    <t>Балдарды бала бакчага, иш-чараларга ж.б. алып бара албадым</t>
  </si>
  <si>
    <t>hw7</t>
  </si>
  <si>
    <t>Did the heatwave impact your or adult family members’ health or well-being?</t>
  </si>
  <si>
    <t xml:space="preserve">Повлияла ли последняя аномальная жара на Ваше здоровье или самочувствие или других совершеннолетних членов семьи? 
</t>
  </si>
  <si>
    <t>Акыркы ысык мезгили сиздин же бойго жеткен үй-бүлө мүчөлөрүңүздүн ден соолугуна же бакубаттулугуна таасирин тийгиздиби?</t>
  </si>
  <si>
    <t>If yes, please specify?</t>
  </si>
  <si>
    <t>Ооба болсо, кандай таасирин тийгизди?</t>
  </si>
  <si>
    <t>HW8</t>
  </si>
  <si>
    <t>Heatstroke</t>
  </si>
  <si>
    <t>Diarrhea</t>
  </si>
  <si>
    <t>Dehydration</t>
  </si>
  <si>
    <t>Blood pressure</t>
  </si>
  <si>
    <t>Stress</t>
  </si>
  <si>
    <t>Poor sleep</t>
  </si>
  <si>
    <t>Headache</t>
  </si>
  <si>
    <t>Excessive sweating</t>
  </si>
  <si>
    <t>Heart attack</t>
  </si>
  <si>
    <t>Nausea/vomiting</t>
  </si>
  <si>
    <t>Heat rash</t>
  </si>
  <si>
    <t>Fainting, dizziness</t>
  </si>
  <si>
    <t>Тепловой удар</t>
  </si>
  <si>
    <t>Диарея</t>
  </si>
  <si>
    <t>Обезвоживание</t>
  </si>
  <si>
    <t>Артериальное давление</t>
  </si>
  <si>
    <t>Стресс</t>
  </si>
  <si>
    <t>Плохой сон</t>
  </si>
  <si>
    <t>Головная боль</t>
  </si>
  <si>
    <t>Чрезмерное потоотделение</t>
  </si>
  <si>
    <t>Сердечный приступ</t>
  </si>
  <si>
    <t>Тошнота/рвота</t>
  </si>
  <si>
    <t>Потница (сыпь тепловая)</t>
  </si>
  <si>
    <t>Обморок, головокружение</t>
  </si>
  <si>
    <t>Ысык сокку</t>
  </si>
  <si>
    <t>Суусуздануу (ашыкча суу жоготуу)</t>
  </si>
  <si>
    <t>Кан басымы</t>
  </si>
  <si>
    <t>Начар уйку</t>
  </si>
  <si>
    <t>Баш оору</t>
  </si>
  <si>
    <t>Ашыкча тердөө</t>
  </si>
  <si>
    <t>Жүрөк оорунун тутушу (Инфаркт)</t>
  </si>
  <si>
    <t>Жүрөк айлануу/кусуу</t>
  </si>
  <si>
    <t>Жылуулук исиркектер</t>
  </si>
  <si>
    <t>Эс-учун жоготуу, баш айлануу</t>
  </si>
  <si>
    <t>hw9</t>
  </si>
  <si>
    <t>Did the heatwave impact health or well-being of children?</t>
  </si>
  <si>
    <t>Повлияла ли последняя аномальная жара на здоровье или благополучие детей?</t>
  </si>
  <si>
    <t>Акыркы ысык мезгили балдардын ден соолугуна же саламаттыгына таасирин тийгиздиби?</t>
  </si>
  <si>
    <t>Ооба болсо, кандай таасирин тийгизди:</t>
  </si>
  <si>
    <t>hw11</t>
  </si>
  <si>
    <t>Did the heatwave impact your household bread winner’s income?</t>
  </si>
  <si>
    <t>Повлияла ли последняя аномальная жара на доходы основного кормильца вашей семьи?</t>
  </si>
  <si>
    <t>Акыркы ысык мезгили үй-бүлөңүздүн негизги табуучусунун кирешесине таасирин тийгиздиби?</t>
  </si>
  <si>
    <t>Yes, missed work/reduced hours due to high temperature</t>
  </si>
  <si>
    <t>Yes, missed work/reduced hours due to heatwave-related illness</t>
  </si>
  <si>
    <t>Yes, lower productivity</t>
  </si>
  <si>
    <t>Yes, lost agricultural yield/cattle due to extreme heat</t>
  </si>
  <si>
    <t>Yes, other (specify)</t>
  </si>
  <si>
    <t>Да, пришлось пропустить работу/сократить рабочее время из-за высокой температуры</t>
  </si>
  <si>
    <t>Да, пришлось пропустить работу/сократить рабочее время из-за плохого состояния, связанного с сильной жарой</t>
  </si>
  <si>
    <t>Да, снизилась производительность труда</t>
  </si>
  <si>
    <t>Да, потеряли урожай/скот из-за экстремальной жары</t>
  </si>
  <si>
    <t>Да, другое (уточните)</t>
  </si>
  <si>
    <t>Ооба, жогорку температурадан улам жумуш күнү калтырылды/ жумуш күнү кыскартылды</t>
  </si>
  <si>
    <t>Ооба, ысыкка байланыштуу оорудан улам жумуш күнү калтырылды/ жумуш күнү кыскартылды</t>
  </si>
  <si>
    <t>Ооба, аз өндүрүмдүүлүк</t>
  </si>
  <si>
    <t>Ооба, катуу ысыктан улам айыл чарба түшүмүн/малды жоготту</t>
  </si>
  <si>
    <t>Ооба, башка (көрсөтүңүз)</t>
  </si>
  <si>
    <t>select_multiple HW12</t>
  </si>
  <si>
    <t xml:space="preserve">Who in your household was most affected by the heatwave? </t>
  </si>
  <si>
    <t>Кто из членов вашей семьи больше всего пострадал от аномальной жары?</t>
  </si>
  <si>
    <t xml:space="preserve">Сиздин үй-бүлөңүздө ысыктан ким көбүрөөк жабыркады? </t>
  </si>
  <si>
    <t>HW12</t>
  </si>
  <si>
    <t>HW11</t>
  </si>
  <si>
    <t>Children under 5 years old</t>
  </si>
  <si>
    <t>Children between 6-17 years old</t>
  </si>
  <si>
    <t>Elderly over 65 years old</t>
  </si>
  <si>
    <t xml:space="preserve">Pregnant women </t>
  </si>
  <si>
    <t>People with disabilities</t>
  </si>
  <si>
    <t>Informal workers/daily wagers</t>
  </si>
  <si>
    <t>Дети до 5 лет</t>
  </si>
  <si>
    <t>Дети от 6 до 17 лет</t>
  </si>
  <si>
    <t>Пожилые люди старше 65 лет</t>
  </si>
  <si>
    <t>Беременные женщины</t>
  </si>
  <si>
    <t>Люди с ограниченными возможностями</t>
  </si>
  <si>
    <t>Неформальные работники/ работники с ежедневной оплатой</t>
  </si>
  <si>
    <t>5 жашка чейинки балдар</t>
  </si>
  <si>
    <t>6 жаштан 17 жашка чейинки балдар</t>
  </si>
  <si>
    <t>65 жаштан жогорку карылар</t>
  </si>
  <si>
    <t>Кош бойлуу аялдар</t>
  </si>
  <si>
    <t>Мүмкүнчүлүгү чектелген адамдар</t>
  </si>
  <si>
    <t>Формалдуу эмес жумушчулар/күнүмдүк эмгек акы алгандар</t>
  </si>
  <si>
    <t>HW13</t>
  </si>
  <si>
    <t>select_one HW13</t>
  </si>
  <si>
    <t>What type of housing do you live in?</t>
  </si>
  <si>
    <t>hw13</t>
  </si>
  <si>
    <t>К какому типу относится Важе жилье?</t>
  </si>
  <si>
    <t>Сиз кандай турак жайда жашайсыз?</t>
  </si>
  <si>
    <t>Single-family home</t>
  </si>
  <si>
    <t>Apartment</t>
  </si>
  <si>
    <t>Mobile home</t>
  </si>
  <si>
    <t>Частный дом</t>
  </si>
  <si>
    <t>Квартира</t>
  </si>
  <si>
    <t>Мобильный дом</t>
  </si>
  <si>
    <t>Жер үй</t>
  </si>
  <si>
    <t>Мобилдик үй</t>
  </si>
  <si>
    <t>hw14</t>
  </si>
  <si>
    <t>Does your home have air conditioning?</t>
  </si>
  <si>
    <t>Есть ли в вашем доме кондиционер?</t>
  </si>
  <si>
    <t>Сиздин үйүңүздө кондиционер барбы?</t>
  </si>
  <si>
    <t>hw15</t>
  </si>
  <si>
    <t>Do you have access to a cool space outside your home (e.g., community center, religious place or other)?</t>
  </si>
  <si>
    <t>Есть ли у вас доступ к прохладному помещению за пределами дома (например, общественный центр, религиозное место или другое)?</t>
  </si>
  <si>
    <t>Үйүңүздүн сыртындагы салкын жерге кирүүгө мүмкүнчүлүгүңүз барбы (мисалы, коомдук борбор, диний жай же башка)?</t>
  </si>
  <si>
    <t>hw16</t>
  </si>
  <si>
    <t>Did you take any steps to stay cool during the heatwave?</t>
  </si>
  <si>
    <t>Предпринимали ли Вы какие-либо меры, чтобы охладиться во время аномальной жары?</t>
  </si>
  <si>
    <t>Сиз ысыкта салкын болуу үчүн кандайдыр бир чараларды көрдүңүзбү?</t>
  </si>
  <si>
    <t>Если да, то что именно делали?</t>
  </si>
  <si>
    <t>Ооба болсо, кандай чараларды көрдүңүз?</t>
  </si>
  <si>
    <t>HW17</t>
  </si>
  <si>
    <t>Staying hydrated</t>
  </si>
  <si>
    <t>Taking cool showers</t>
  </si>
  <si>
    <t>Using air conditioner or fan</t>
  </si>
  <si>
    <t>Staying at home and avoiding going out during the hottest times of the day</t>
  </si>
  <si>
    <t>Keeping/using emergency kit at home</t>
  </si>
  <si>
    <t>Using wet towels or clothes for cooling</t>
  </si>
  <si>
    <t>Wearing sunglasses, hats, or using umbrellas</t>
  </si>
  <si>
    <t>Wearing light and loose clothes made from cotton</t>
  </si>
  <si>
    <t>Going to neighbors or other community center with air conditioner, cooler or fan</t>
  </si>
  <si>
    <t>Пили больше жидкости</t>
  </si>
  <si>
    <t>Принимали прохладный душ</t>
  </si>
  <si>
    <t>Включали кондиционер или вентилятор</t>
  </si>
  <si>
    <t>Оставались дома и не выходили на улицу в самое жаркое время суток</t>
  </si>
  <si>
    <t>Имели в наличии/использовали дома набор первой помощи.</t>
  </si>
  <si>
    <t>Использовали влажные полотенца или увлажняли одежду для охлаждения</t>
  </si>
  <si>
    <t>Носили солнцезащитные очки, шляпы или зонтики</t>
  </si>
  <si>
    <t>Носили легкую и свободную одежду из хлопка</t>
  </si>
  <si>
    <t>Ходили к соседям или в общественное место, где есть кондиционер или вентилятор</t>
  </si>
  <si>
    <t>Суюктуктарды көбүрөөк ичүү</t>
  </si>
  <si>
    <t>Салкын душка түшүү</t>
  </si>
  <si>
    <t>Кондиционерди же желдеткичти колдонуу</t>
  </si>
  <si>
    <t>Үйдө болуу жана күндүн эң ысык мезгилинде сыртка чыгуудан качуу</t>
  </si>
  <si>
    <t>Үйдө шашылыш аптечканы сактоо/колдонуу</t>
  </si>
  <si>
    <t>Муздатуу үчүн нымдуу сүлгү же кийимдерди колдонуу</t>
  </si>
  <si>
    <t>Көз айнек, баш кийим кийүү же кол чатыр колдонуу</t>
  </si>
  <si>
    <t>Кебезден жасалган жеңил жана кенен кийимдерди кийүү</t>
  </si>
  <si>
    <t>Кондиционер, муздаткыч же желдеткичи бар болгон кошуналарга же башка коомдук борборлорго баруу</t>
  </si>
  <si>
    <t>Did the heatwave increase your spending related to ___?</t>
  </si>
  <si>
    <t>select_multiple HW18</t>
  </si>
  <si>
    <t>Увеличила ли аномальная жара ваши расходы, связанные с ___?</t>
  </si>
  <si>
    <t>Ысык мезгили көрсөтүлгөн чыгымдардын көбөйттүбү?</t>
  </si>
  <si>
    <t>HW18</t>
  </si>
  <si>
    <t>Fan/Airconditioner</t>
  </si>
  <si>
    <t>Utility bills (electricity, water, transportation costs)</t>
  </si>
  <si>
    <t>Drinking water</t>
  </si>
  <si>
    <t>Other – specify</t>
  </si>
  <si>
    <t>Вентилятор/Кондиционер</t>
  </si>
  <si>
    <t>Коммунальные платежи (электричество, вода, транспортные расходы)</t>
  </si>
  <si>
    <t>Питьевая вода</t>
  </si>
  <si>
    <t>Желдеткич/кондиционер</t>
  </si>
  <si>
    <t>Коммуналдык төлөмдөр (электр энергиясы, суу, транспорттук чыгымдар)</t>
  </si>
  <si>
    <t>Ичүүчү суу</t>
  </si>
  <si>
    <t>hw19</t>
  </si>
  <si>
    <t>Did you have access to safe drinking water during the heatwave?</t>
  </si>
  <si>
    <t>Был ли у вас доступ к безопасной питьевой воде во время аномальной жары?</t>
  </si>
  <si>
    <t>Сиз ысыкта таза ичүүчү сууну алууга мүмкүнчүлүгүңүз бар беле?</t>
  </si>
  <si>
    <t>Coping Strategies:</t>
  </si>
  <si>
    <t>Стратегии выживания:</t>
  </si>
  <si>
    <t>Каршы чыгуу стратегиялары:</t>
  </si>
  <si>
    <t>Early Warning and Awareness:</t>
  </si>
  <si>
    <t>Раннее предупреждение и осведомленность:</t>
  </si>
  <si>
    <t>Эрте эскертүү жана маалымдоо:</t>
  </si>
  <si>
    <t>hw20</t>
  </si>
  <si>
    <t>Did you receive any heatwave early warnings or advisories from the government or other local sources?</t>
  </si>
  <si>
    <t>Получали ли вы какие-либо ранние предупреждения или рекомендации об аномальной жаре от правительства или других местных органов?</t>
  </si>
  <si>
    <t>Сиз өкмөттөн же башка жергиликтүү бийлик органдарынан ысык мезгили жөнүндө эскертүүлөрүн же кеңештерин алдыңызбы?</t>
  </si>
  <si>
    <t>select_multiple HW21</t>
  </si>
  <si>
    <t xml:space="preserve">From which sources did you receive early warnings or advisories? </t>
  </si>
  <si>
    <t xml:space="preserve">Из каких источников вы получали ранние предупреждения или рекомендации? </t>
  </si>
  <si>
    <t xml:space="preserve">Сиз кайсы булактардан алдын ала эскертүүлөрдү же кеңештерди алдыңыз? </t>
  </si>
  <si>
    <t>HW21</t>
  </si>
  <si>
    <t>Local government announcements</t>
  </si>
  <si>
    <t>TV</t>
  </si>
  <si>
    <t>Mobile operators</t>
  </si>
  <si>
    <t>Others (specify)</t>
  </si>
  <si>
    <t>Объявления местных органов власти</t>
  </si>
  <si>
    <t>ТВ</t>
  </si>
  <si>
    <t>Социальные сети</t>
  </si>
  <si>
    <t>Мобильные операторы</t>
  </si>
  <si>
    <t>Прочие (указать)</t>
  </si>
  <si>
    <t>Жергиликтүү өз алдынча башкаруу органдарынын билдирүүлөрү</t>
  </si>
  <si>
    <t>Телевизор</t>
  </si>
  <si>
    <t>Социалдык тармактар</t>
  </si>
  <si>
    <t>Уюлдук операторлор</t>
  </si>
  <si>
    <t>Башкалар (көрсөтүңүз)</t>
  </si>
  <si>
    <t>hw22</t>
  </si>
  <si>
    <t>select_one HW22</t>
  </si>
  <si>
    <t>How informed do you feel about the health risks associated with heatwaves for children?</t>
  </si>
  <si>
    <t>Насколько хорошо вы информированы о рисках для здоровья детей, связанных с периодами аномальной жары?</t>
  </si>
  <si>
    <t>Ысык мезгилдин балдардын ден соолугуна тийгизген коркунучу жөнүндө сиз канчалык деңгээлде кабардарсыз?</t>
  </si>
  <si>
    <t>HW22</t>
  </si>
  <si>
    <t>Very informed</t>
  </si>
  <si>
    <t>Somewhat informed</t>
  </si>
  <si>
    <t>Not very informed</t>
  </si>
  <si>
    <t>Not informed at all</t>
  </si>
  <si>
    <t>Очень информирован</t>
  </si>
  <si>
    <t>В некоторой степени информирован</t>
  </si>
  <si>
    <t>Не очень информирован</t>
  </si>
  <si>
    <t>Совсем не информирован</t>
  </si>
  <si>
    <t>Абдан маалыматтуумун</t>
  </si>
  <si>
    <t>Бир аз маалыматым бар</t>
  </si>
  <si>
    <t>Өтө маалым эмес</t>
  </si>
  <si>
    <t>Такыр маалыматым жок</t>
  </si>
  <si>
    <t>select_one HW23</t>
  </si>
  <si>
    <t>hw23</t>
  </si>
  <si>
    <t>What improvements would you suggest for the Hydromet and CoES to ensure you stay informed and warned?</t>
  </si>
  <si>
    <t>Что бы Вы предложили Кыргызгидромету и МЧС для улучшения информирования?</t>
  </si>
  <si>
    <t>Сиз ар дайым кабардар болуп туруу үчүн Кыргызгидрометке жана МЧСке кандай жакшыртууларды сунуштайт элеңиз?</t>
  </si>
  <si>
    <t>HW23</t>
  </si>
  <si>
    <t>Improve the timeliness of warnings</t>
  </si>
  <si>
    <t>Use more channels for dissemination</t>
  </si>
  <si>
    <t>Provide more detailed guidance on how to stay safe</t>
  </si>
  <si>
    <t>Collaborate with community organizations for better outreach</t>
  </si>
  <si>
    <t>Повысить своевременность предупреждений</t>
  </si>
  <si>
    <t>Использовать больше каналов распространения информации</t>
  </si>
  <si>
    <t>Предоставлять более подробные инструкции о том, как оставаться в безопасности во время жары</t>
  </si>
  <si>
    <t>Сотрудничать с общественными организациями для более эффективного охвата населения информацией</t>
  </si>
  <si>
    <t>Эскертүүлөрдү өз убагында берилишин жакшыртуу</t>
  </si>
  <si>
    <t>Маалыматты таркатуу үчүн көбүрөөк каналдарды колдонуу</t>
  </si>
  <si>
    <t>Ысык мезгил учурунда кантип коопсуз болуу боюнча кененирээк көрсөтмөлөрдү берүү</t>
  </si>
  <si>
    <t>Жакшыраак түшүндүрүү үчүн коомдук уюмдар менен кызматташуу</t>
  </si>
  <si>
    <t>ATR8</t>
  </si>
  <si>
    <t>HW6</t>
  </si>
  <si>
    <t>select_one HW11</t>
  </si>
  <si>
    <t/>
  </si>
  <si>
    <t>Impacts:</t>
  </si>
  <si>
    <t>Влияние:</t>
  </si>
  <si>
    <t>Таасири:</t>
  </si>
  <si>
    <t>select_multiple HW6</t>
  </si>
  <si>
    <t>hw6_</t>
  </si>
  <si>
    <t>select_multiple HW8</t>
  </si>
  <si>
    <t>hw8_</t>
  </si>
  <si>
    <t>hw10_</t>
  </si>
  <si>
    <t>Select all that apply</t>
  </si>
  <si>
    <t>Выберите все подходящие варианты</t>
  </si>
  <si>
    <t>Тийиштүүлөрдүн баарын тандаңыз</t>
  </si>
  <si>
    <t>hw13_note</t>
  </si>
  <si>
    <t>hw12_</t>
  </si>
  <si>
    <t>hw17_</t>
  </si>
  <si>
    <t>hw18_</t>
  </si>
  <si>
    <t>select_multiple HW17</t>
  </si>
  <si>
    <t>Check all that apply</t>
  </si>
  <si>
    <t>Тиешелүүлөрдүн баарын тандаңыз</t>
  </si>
  <si>
    <t>${hw20}=1</t>
  </si>
  <si>
    <t>hw21_</t>
  </si>
  <si>
    <t>Тийиштүүлөрдүн баарын белгилеңиз</t>
  </si>
  <si>
    <t>Please, specify</t>
  </si>
  <si>
    <t>Пожалуйста, укажите</t>
  </si>
  <si>
    <t>Көрсөтүңүз</t>
  </si>
  <si>
    <t>Read the answers</t>
  </si>
  <si>
    <t>Зачитать ответы</t>
  </si>
  <si>
    <t>Жоопторду окуп бериңиз</t>
  </si>
  <si>
    <t>ecom_end</t>
  </si>
  <si>
    <t>if(${ecom_end}='' , '', once(now()))</t>
  </si>
  <si>
    <t>time_ecom</t>
  </si>
  <si>
    <t>time_atr</t>
  </si>
  <si>
    <t>This is the end of E-COMMERCE</t>
  </si>
  <si>
    <t>Конец секции ЭЛЕКТРОННАЯ КОММЕРЦИЯ</t>
  </si>
  <si>
    <t>atr_end</t>
  </si>
  <si>
    <t>This is the end of ADMINISTRATIVE-TERRITORIAL REFORM</t>
  </si>
  <si>
    <t>Конец секции АДМИНИСТРАТИВНО-ТЕРРИТОРИАЛЬНАЯ РЕФОРМА</t>
  </si>
  <si>
    <t>time_hw</t>
  </si>
  <si>
    <t>if(${atr_end}='' , '', once(now()))</t>
  </si>
  <si>
    <t>hw_end</t>
  </si>
  <si>
    <t>This is the end of EXPERIENCES AND IMPACT OF HEATWAVES</t>
  </si>
  <si>
    <t>Конец секции ОПЫТ И ВЛИЯНИЕ АНОМАЛЬНОГО ПЕРИОДА ЖАРЫ</t>
  </si>
  <si>
    <t>if(${hw_end}='' , '', once(now()))</t>
  </si>
  <si>
    <t>time_next2</t>
  </si>
  <si>
    <t>Instructions for the enumerator: When interviewing respondents, follow this specific order:
1.	[Block 1: Attitudes]. For the first respondent, begin the module from Q2, and continue onwards.
2.	[Block 2: Definitions]. For the second respondent, first ask Q3-Q5, then move on to Q2, Q6 and Q7.
Repeat this sequence for all CATI respondents.</t>
  </si>
  <si>
    <t xml:space="preserve">Инструкции для интервьюера: при опросе респондентов следуйте следующему порядку: 
1.	[Блок 1: Отношения]. Для первого респондента начините модуль с вопроса md_2 и затем задайте последующие вопросы.
2.	[Блок 2: Определения]. Для второго респондента сначала задайте вопросы md_3 - md_5, затем перейдите к вопросам md_2, md_6 и md_7 по порядку.
Повторите эту последовательность для всех респондентов CATI.
</t>
  </si>
  <si>
    <t>Интервьюерлер үчүн нускамалар: Сурамжылоо учурунда, бул белгилүү тартипти сактаңыз:
1.	[1-блок: Мамилелер]. Биринчи респондент үчүн модулду  md_2-суроосунан баштап, андан ары улантыңыз.
2.	[2-блок: Аныктамалар]. Экинчи респондент үчүн адегенде md_3 - md_5 суроолорун сураңыз, андан кийин md_2, md_6 жана md_7 суроолоруна өтүңүз.
Бардык CATI респонденттер үчүн бул ырааттуулукту кайталаңыз.</t>
  </si>
  <si>
    <t>md_1</t>
  </si>
  <si>
    <t>We’ll read you a short description of a person. For each description, could you please state whether the person described is most likely to be poor, middle class, rich, or can be anyone:
A)	Poor
B)	Middle class
C)	Rich
D)	Can be anyone
E)	Don’t know</t>
  </si>
  <si>
    <t>Мы зачитаем вам краткое описание человека. Для каждого описания, пожалуйста, укажите, является ли описываемый человек бедным, богатым, относится ли к среднему классу или может быть кем угодно:
A)	Бедный
B)	Средний класс
C)	Богатый
D)	Может быть кем угодно
E)	Не знаю</t>
  </si>
  <si>
    <t>Биз сизге адамдын кыскача сүрөттөмөсүн окуп беребиз. Ар бир сүрөттөмө үчүн, бул адам жакырбы, байбы, ортоңку катмарга киреби же кимдир бирөө боло алабы деп айталасыз:
A) Жакыр
B) Ортоңку катмар
C) Бай
D) Кимдир бирөө боло алат
E) Билбейм</t>
  </si>
  <si>
    <t>md_2</t>
  </si>
  <si>
    <t>Owns a basic cell phone</t>
  </si>
  <si>
    <t>Owns a smartphone</t>
  </si>
  <si>
    <t>Owns the home they live in</t>
  </si>
  <si>
    <t>Has a bank account</t>
  </si>
  <si>
    <t>Has a house with enough bedrooms for each family member</t>
  </si>
  <si>
    <t>Owns a car</t>
  </si>
  <si>
    <t>Owns a foreign-made car (e.g., Toyota, BMW).</t>
  </si>
  <si>
    <t>Has reliable internet access</t>
  </si>
  <si>
    <t>Has basic appliances (e.g., refrigerator, washing machine)</t>
  </si>
  <si>
    <t>Can afford to take a vacation with their family once a year</t>
  </si>
  <si>
    <t>Can afford to take a vacation abroad every year</t>
  </si>
  <si>
    <t>Have a higher education degree</t>
  </si>
  <si>
    <t>Their children attend a private school with high tuition fees</t>
  </si>
  <si>
    <t>Their children attend a university</t>
  </si>
  <si>
    <t>Have significant savings</t>
  </si>
  <si>
    <t>Has a mortgage but manages it well.</t>
  </si>
  <si>
    <t>Being a debt-free.</t>
  </si>
  <si>
    <t>Works in a blue-collar job</t>
  </si>
  <si>
    <t>Has a secure job with regular income and benefits (e.g., pension, health insurance)</t>
  </si>
  <si>
    <t>Participates in social or community activities regularly</t>
  </si>
  <si>
    <t>Has an income which is higher than 25% of households in their area of living</t>
  </si>
  <si>
    <t>Has an income which is higher than 50% of households in their area of living</t>
  </si>
  <si>
    <t>Имеет кнопочный мобильный телефон</t>
  </si>
  <si>
    <t>Имеет смартфон</t>
  </si>
  <si>
    <t>Владеет домом, где проживает</t>
  </si>
  <si>
    <t>Имеет банковский счет</t>
  </si>
  <si>
    <t>Владеет домом с достаточным количеством спален для каждого члена семьи</t>
  </si>
  <si>
    <t>Владеет автомобилем</t>
  </si>
  <si>
    <t>Владеет автомобилем иностранного производства (например, Toyota, BMW).</t>
  </si>
  <si>
    <t>Имеет надежный доступ в Интернет</t>
  </si>
  <si>
    <t>Владеет базовой бытовой техникой (например, холодильник, стиральная машина)</t>
  </si>
  <si>
    <t>Может позволить себе ездить в отпуск с семьей раз в год</t>
  </si>
  <si>
    <t>Может позволить себе ездить в отпуск за границу каждый год</t>
  </si>
  <si>
    <t>Имеет высшее образование</t>
  </si>
  <si>
    <t>Его/ее дети посещают частную школу с высокой платой за обучение</t>
  </si>
  <si>
    <t>Его/ее дети посещают университет</t>
  </si>
  <si>
    <t>Имеет значительные сбережения</t>
  </si>
  <si>
    <t>Имеет ипотеку, но умело управляет ею</t>
  </si>
  <si>
    <t>Не имеет долгов.</t>
  </si>
  <si>
    <t>Занят/а в профессии «синих воротничков» (профессии, где преобладает физический труд, такие как строители, сантехники, электрики)</t>
  </si>
  <si>
    <t>Имеет стабильную работу с постоянным доходом и льготами (например, пенсия, медицинская страховка)</t>
  </si>
  <si>
    <t>Регулярно участвует в социальных или общественных мероприятиях</t>
  </si>
  <si>
    <t>Имеет доход, превышающий доход 25% домохозяйств в их районе/месте проживания</t>
  </si>
  <si>
    <t>Имеет доход, превышающий доход 50% домохозяйств в их районе/месте проживания</t>
  </si>
  <si>
    <t>Жөнөкөй (баскычтары менен) мобилдик телефону бар</t>
  </si>
  <si>
    <t>Смартфону бар</t>
  </si>
  <si>
    <t>Өзү жашаган үйгө ээ</t>
  </si>
  <si>
    <t>Банк эсеби бар</t>
  </si>
  <si>
    <t>Ар бир үй-бүлө мүчөсүнө жетиштүү уктоочу бөлмөсү бар үйгө ээ</t>
  </si>
  <si>
    <t>Автоунаасы бар</t>
  </si>
  <si>
    <t>Чет элдик өндүрүштөгү автоунаага ээ (мисалы, Toyota, BMW)</t>
  </si>
  <si>
    <t>Ишенимдүү интернетке жеткиликтүүлүгү бар</t>
  </si>
  <si>
    <t>Негизги тиричилик техникаларына ээ (мисалы, муздаткыч, кир жуугуч машина)</t>
  </si>
  <si>
    <t>Үй-бүлөсү менен жылына бир жолу эс алууга мүмкүнчүлүгү бар</t>
  </si>
  <si>
    <t>Жыл сайын чет өлкөгө эс алууга мүмкүнчүлүгү бар</t>
  </si>
  <si>
    <t>Жогорку билимге ээ</t>
  </si>
  <si>
    <t>Анын балдары жогорку акы төлөнүүчү жеке мектепке барышат</t>
  </si>
  <si>
    <t>Анын балдары университетке барышат</t>
  </si>
  <si>
    <t>Олуттуу сакталган каражаттары бар</t>
  </si>
  <si>
    <t>Ипотекасы бар, бирок аны жакшы башкарат</t>
  </si>
  <si>
    <t>Карызы жок.</t>
  </si>
  <si>
    <t>"Көк жакалар" кесибинде иштейт (мисалы, куруучулар, сантехниктер, электриктер сыяктуу физикалык эмгекти талап кылган кесиптер)</t>
  </si>
  <si>
    <t>Туруктуу кирешеси жана жеңилдиктери (мисалы, пенсия, медициналык камсыздандыруу) бар туруктуу жумушта иштейт</t>
  </si>
  <si>
    <t>Коомдук же социалдык иш-чараларга дайыма катышат</t>
  </si>
  <si>
    <t>Анын кирешеси жашаган аймагындагы үй-бүлөлөрдүн 25%нын кирешесинен жогору</t>
  </si>
  <si>
    <t>Анын кирешеси жашаган аймагындагы үй-бүлөлөрдүн 50%нын кирешесинен жогору</t>
  </si>
  <si>
    <t>md_2_1</t>
  </si>
  <si>
    <t>md_2_2</t>
  </si>
  <si>
    <t>md_2_3</t>
  </si>
  <si>
    <t>md_2_4</t>
  </si>
  <si>
    <t>md_2_5</t>
  </si>
  <si>
    <t>md_2_6</t>
  </si>
  <si>
    <t>md_2_7</t>
  </si>
  <si>
    <t>md_2_8</t>
  </si>
  <si>
    <t>md_2_9</t>
  </si>
  <si>
    <t>md_2_10</t>
  </si>
  <si>
    <t>md_2_11</t>
  </si>
  <si>
    <t>md_2_12</t>
  </si>
  <si>
    <t>md_2_13</t>
  </si>
  <si>
    <t>md_2_14</t>
  </si>
  <si>
    <t>md_2_15</t>
  </si>
  <si>
    <t>md_2_16</t>
  </si>
  <si>
    <t>md_2_17</t>
  </si>
  <si>
    <t>md_2_18</t>
  </si>
  <si>
    <t>md_2_19</t>
  </si>
  <si>
    <t>md_2_20</t>
  </si>
  <si>
    <t>md_2_21</t>
  </si>
  <si>
    <t>md_2_22</t>
  </si>
  <si>
    <t>select_one MD2</t>
  </si>
  <si>
    <t>MD2</t>
  </si>
  <si>
    <t>Middle class</t>
  </si>
  <si>
    <t>Rich</t>
  </si>
  <si>
    <t>Can be anyone</t>
  </si>
  <si>
    <t>Бедный</t>
  </si>
  <si>
    <t>Средний класс</t>
  </si>
  <si>
    <t>Богатый</t>
  </si>
  <si>
    <t>Может быть кем угодно</t>
  </si>
  <si>
    <t>Жакыр</t>
  </si>
  <si>
    <t>Ортоңку катмар</t>
  </si>
  <si>
    <t>Бай</t>
  </si>
  <si>
    <t>Кимдир бирөө боло алат</t>
  </si>
  <si>
    <t>What does it mean “being middle class” in the Kyrgyz Republic?</t>
  </si>
  <si>
    <t>Что означает «быть средним классом» в Кыргызстане?</t>
  </si>
  <si>
    <t>Кыргызстанда «ортоңку катмарга кирүү» эмнени билдирет?</t>
  </si>
  <si>
    <t>md_3</t>
  </si>
  <si>
    <t>Do you agree or disagree with the following statement: "Income alone is enough to determine if person belongs to the middle class"?</t>
  </si>
  <si>
    <t>Вы согласны или не согласны со следующим утверждением: «Одного дохода достаточно, чтобы определить, принадлежит ли человек к среднему классу»?</t>
  </si>
  <si>
    <t>«Киреше гана адамдын ортоңку катмарга тиешелүү экенин аныктоо үчүн жетиштүү» деген билдирүү менен Сиз макулсузбу же макул эмессизби?</t>
  </si>
  <si>
    <t>md_4</t>
  </si>
  <si>
    <t>select_one MD4</t>
  </si>
  <si>
    <t>Нейтрально</t>
  </si>
  <si>
    <t>Не согласен</t>
  </si>
  <si>
    <t>Нейтралдуу</t>
  </si>
  <si>
    <t>MD4</t>
  </si>
  <si>
    <t xml:space="preserve">Would you describe yourself and your family as part of the middle-class? </t>
  </si>
  <si>
    <t xml:space="preserve">Вы бы описали себя и свою семью как часть среднего класса? </t>
  </si>
  <si>
    <t>Сиз өзүңүздү жана үй-бүлөңүздү ортоңку катмардын бир бөлүгү деп сүрөттөйт белеңиз?</t>
  </si>
  <si>
    <t>md_5</t>
  </si>
  <si>
    <t>md_6</t>
  </si>
  <si>
    <t>In your opinion, what is the most important factor that led people to become rich in the Kyrgyz Republic?</t>
  </si>
  <si>
    <t>READ OPTIONS, SELECT ONE MAIN FACTOR</t>
  </si>
  <si>
    <t>По вашему мнению, какой самый важный фактор помог людям разбогатеть в Кыргызстане?</t>
  </si>
  <si>
    <t>ПРОЧИТАЙТЕ ВАРИАНТЫ И ВЫБЕРИТЕ ОДИН ГЛАВНЫЙ ФАКТОР</t>
  </si>
  <si>
    <t>Сиздин оюңузча, Кыргызстанда адамдарга бай болушуна эң маанилүү фактор кайсы болгон?</t>
  </si>
  <si>
    <t>ВАРИАНТТАРДЫ ОКУП ЧЫГЫҢЫЗ ЖАНА БАШКЫ БИР ФАКТОРДУ ТАНДАҢЫЗ</t>
  </si>
  <si>
    <t>select_one MD6</t>
  </si>
  <si>
    <t>Come from a wealthy family</t>
  </si>
  <si>
    <t>Come from an educated family</t>
  </si>
  <si>
    <t>Location of residence</t>
  </si>
  <si>
    <t>His/her own luck</t>
  </si>
  <si>
    <t>His/her own education and skills</t>
  </si>
  <si>
    <t>Hard work</t>
  </si>
  <si>
    <t>Have a lot of connections (business colleagues, friends and relatives, etc.)</t>
  </si>
  <si>
    <t>Others, specify</t>
  </si>
  <si>
    <t>Происхождение из богатой семьи</t>
  </si>
  <si>
    <t>Происхождение из образованной семьи</t>
  </si>
  <si>
    <t>Место жительства</t>
  </si>
  <si>
    <t>Его/её собственная удача</t>
  </si>
  <si>
    <t>Его/ее собственные образование и навыки</t>
  </si>
  <si>
    <t>Трудолюбие</t>
  </si>
  <si>
    <t>Наличие связей (коллеги по бизнесу, друзья, родственники, пр.)</t>
  </si>
  <si>
    <t>Бай үй-бүлөдөн чыккандыгы</t>
  </si>
  <si>
    <t>Билимдүү үй-бүлөдөн чыккандыгы</t>
  </si>
  <si>
    <t>Жашаган жери</t>
  </si>
  <si>
    <t>Өзүнүн ийгилиги</t>
  </si>
  <si>
    <t>Өзүнүн билими жана жөндөмдөрү</t>
  </si>
  <si>
    <t>Эмгекчилдик</t>
  </si>
  <si>
    <t>Таныштардын болушу (ишкер өнөктөштөр, достор, туугандар ж.б.)</t>
  </si>
  <si>
    <t>MD6</t>
  </si>
  <si>
    <t>In your opinion, what is the most important factor that led the current poor people to become middle-class in the Kyrgyz Republic?</t>
  </si>
  <si>
    <t>Какой фактор, по вашему мнению, оказал наибольшее влияние на то, что нынешние бедные граждане стали частью среднего класса в Кыргызстане?</t>
  </si>
  <si>
    <t>Сиздин оюңузча, Кыргызстанда учурдагы жакыр жарандардын ортоңку катмарга киришине эң чоң таасир эткен фактор кайсы?</t>
  </si>
  <si>
    <t>md_7</t>
  </si>
  <si>
    <t>select_one MD7</t>
  </si>
  <si>
    <t>MD7</t>
  </si>
  <si>
    <t>md_</t>
  </si>
  <si>
    <t>MIDDLE-CLASS QUESTIONS</t>
  </si>
  <si>
    <t xml:space="preserve">ВОПРОСЫ ДЛЯ ОПРЕДЕЛЕНИЯ СРЕДНЕГО КЛАССА </t>
  </si>
  <si>
    <t xml:space="preserve">ОРТОҢКУ КАТМАРДЫ АНЫКТОО ҮЧҮН СУРООЛОР </t>
  </si>
  <si>
    <t>round(random()*1)</t>
  </si>
  <si>
    <t>rnd_md</t>
  </si>
  <si>
    <t>rnd1</t>
  </si>
  <si>
    <t>${rnd_md}=0</t>
  </si>
  <si>
    <t>mmd_2</t>
  </si>
  <si>
    <t>mmd_2_1</t>
  </si>
  <si>
    <t>mmd_2_2</t>
  </si>
  <si>
    <t>mmd_2_3</t>
  </si>
  <si>
    <t>mmd_2_4</t>
  </si>
  <si>
    <t>mmd_2_5</t>
  </si>
  <si>
    <t>mmd_2_6</t>
  </si>
  <si>
    <t>mmd_2_7</t>
  </si>
  <si>
    <t>mmd_2_8</t>
  </si>
  <si>
    <t>mmd_2_9</t>
  </si>
  <si>
    <t>mmd_2_10</t>
  </si>
  <si>
    <t>mmd_2_11</t>
  </si>
  <si>
    <t>mmd_2_12</t>
  </si>
  <si>
    <t>mmd_2_13</t>
  </si>
  <si>
    <t>mmd_2_14</t>
  </si>
  <si>
    <t>mmd_2_15</t>
  </si>
  <si>
    <t>mmd_2_16</t>
  </si>
  <si>
    <t>mmd_2_17</t>
  </si>
  <si>
    <t>mmd_2_18</t>
  </si>
  <si>
    <t>mmd_2_19</t>
  </si>
  <si>
    <t>mmd_2_20</t>
  </si>
  <si>
    <t>mmd_2_21</t>
  </si>
  <si>
    <t>mmd_2_22</t>
  </si>
  <si>
    <t>mmd_3</t>
  </si>
  <si>
    <t>mmd_4</t>
  </si>
  <si>
    <t>mmd_5</t>
  </si>
  <si>
    <t>mmd_6</t>
  </si>
  <si>
    <t>mmd_7</t>
  </si>
  <si>
    <t>${rnd_md}=1</t>
  </si>
  <si>
    <t>rnd2</t>
  </si>
  <si>
    <t>Social protection benefits from the Government</t>
  </si>
  <si>
    <t>Other government support</t>
  </si>
  <si>
    <t>Job opportunities in his/her area of living</t>
  </si>
  <si>
    <t>Move to wealthier cities (i.e. Bishkek/Osh city)</t>
  </si>
  <si>
    <t>Obtain better education and skills</t>
  </si>
  <si>
    <t>Социальные льготы со стороны правительства</t>
  </si>
  <si>
    <t>Другая государственная поддержка</t>
  </si>
  <si>
    <t>Возможности трудоустройства в месте проживания</t>
  </si>
  <si>
    <t>Переезд в более богатые города (например, город Бишкек/Ош)</t>
  </si>
  <si>
    <t>Получение лучшего образования и навыков</t>
  </si>
  <si>
    <t>Өкмөттөн алынган социалдык жеңилдиктер</t>
  </si>
  <si>
    <t>Башка мамлекеттик колдоо</t>
  </si>
  <si>
    <t>Жашаган жериңде жумуш табуу мүмкүнчүлүктөрү</t>
  </si>
  <si>
    <t>Жакшыраак (байыраак) шаарларга көчүп баруу (мисалы, Бишкек/Ош)</t>
  </si>
  <si>
    <t>Жакшыраак билим жана көндүмдөрдү алуу</t>
  </si>
  <si>
    <t>tr_</t>
  </si>
  <si>
    <t>MODULE 19: ELECTRICITY TARIFF REFORM</t>
  </si>
  <si>
    <t xml:space="preserve">МОДУЛЬ 19: РЕФОРМА ТАРИФОВ НА ЭЛЕКТРОЭНЕРГИЮ </t>
  </si>
  <si>
    <t xml:space="preserve">МОДУЛЬ 19: ЭЛЕКТР ТАРИФТЕРИН РЕФОРМАЛОО </t>
  </si>
  <si>
    <t>Are you aware that electricity tariffs increased from May 1, 2024?</t>
  </si>
  <si>
    <t>If the respondent knows about the “recent” electricity price increase, select YES</t>
  </si>
  <si>
    <t>Знаете ли вы, что тарифы на электроэнергию повысились с 1 мая 2024 года?</t>
  </si>
  <si>
    <t>Если респондент знает о «недавнем» повышении цен на электроэнергию, выберите ДА</t>
  </si>
  <si>
    <t>2024-жылдын 1-майынан тартып электр энергиясына тарифтер жогорулаганын билесизби?</t>
  </si>
  <si>
    <t>Эгер респондент электр энергиясына болгон баалардын “акыркы” көтөрүлүшүн билсе, “ООБАны” белгилеңиз</t>
  </si>
  <si>
    <t>tr1</t>
  </si>
  <si>
    <t>Are you aware that heating and hot water tariffs increased from June 1, 2024?</t>
  </si>
  <si>
    <t>If the respondent knows about the “recent” heating and hot water price increase, select YES</t>
  </si>
  <si>
    <t>Знаете ли вы, что тарифы на отопление и горячую воду повысились с 1 июня 2024 года?</t>
  </si>
  <si>
    <t>Если респондент знает о «недавнем» повышении цен на отопление и горячую воду, выберите ДА</t>
  </si>
  <si>
    <t>2024-жылдын 1-июнунан тартып жылытууга жана ысык сууга тарифтер жогорулаганын билесизби?</t>
  </si>
  <si>
    <t>Эгер респондент жылытууга жана ысык сууга болгон баалардын “акыркы” көтөрүлүшүн билсе, “ООБАны” белгилеңиз]</t>
  </si>
  <si>
    <t>tr2</t>
  </si>
  <si>
    <t>select_one TR3</t>
  </si>
  <si>
    <t>tr3</t>
  </si>
  <si>
    <t>Overall, how would you consider the levels of electricity tariffs from May 1, 2024?</t>
  </si>
  <si>
    <t>Как вы оцениваете уровень тарифов на электроэнергию с 1 мая 2024 года?</t>
  </si>
  <si>
    <t>2024-жылдын 1-майынан тартып электр энергиясынын тарифтерин кандай деңгээлде баалайсыз?</t>
  </si>
  <si>
    <t>tr4</t>
  </si>
  <si>
    <t>Overall, how would you consider the levels of heating tariffs from June 1, 2024?</t>
  </si>
  <si>
    <t>Как вы оцениваете уровень тарифов на отопление с 1 июня 2024 года?</t>
  </si>
  <si>
    <t>2024-жылдын 1-июнунан тартып жылытуу тарифтерин кандай деңгээлде баалайсыз?</t>
  </si>
  <si>
    <t>select_one TR4</t>
  </si>
  <si>
    <t>Compared to February 2024 (one-year ago), by what extent have your household expenses for electricity in February 2025 increased?</t>
  </si>
  <si>
    <t>Как изменились расходы вашего домохозяйства на электроэнергию в феврале 2025 года по сравнению с февралем 2024 года (год назад)?</t>
  </si>
  <si>
    <t>2024-жылдын февраль айына салыштырмалуу, 2025-жылдын февраль айында сиздин үй чарбаңыздын электр энергиясына чыгымдары кандай өзгөрдү?</t>
  </si>
  <si>
    <t>Compared to heating winter season 2024 (one-year ago), by what extent have your household expenses for heating services in winter 2025 increased?</t>
  </si>
  <si>
    <t>Как изменились ваши расходы на отопление в зимний период 2025 года по сравнению с зимним периодом 2024 года?</t>
  </si>
  <si>
    <t>2024-жылдын кыш мезгилине салыштырмалуу, 2025-жылдын кыш мезгилинде жылытууга чыгымдар кандай өзгөрдү?</t>
  </si>
  <si>
    <t>tr5</t>
  </si>
  <si>
    <t>tr6</t>
  </si>
  <si>
    <t>select_one TR5</t>
  </si>
  <si>
    <t>After the electricity tariffs increase in May 2024, did you and your household reduce the use of electricity in your household?</t>
  </si>
  <si>
    <t>После повышения тарифов на электроэнергию в мае 2024 года, сократили вы и ваше домохозяйство потребление электроэнергии?</t>
  </si>
  <si>
    <t>2024-жылдын май айында электр энергиясынын тарифтери жогорулагандан кийин, сиз жана сиздин үй чарбаңыз электр энергиясын колдонууну азайттыбы?</t>
  </si>
  <si>
    <t>tr7</t>
  </si>
  <si>
    <t>tr8</t>
  </si>
  <si>
    <t>tr9</t>
  </si>
  <si>
    <t>tr10</t>
  </si>
  <si>
    <t>tr11</t>
  </si>
  <si>
    <t>tr12</t>
  </si>
  <si>
    <t>tr13</t>
  </si>
  <si>
    <t>tr14</t>
  </si>
  <si>
    <t>select_one TR9</t>
  </si>
  <si>
    <t>select_one TR12</t>
  </si>
  <si>
    <t>If Yes, what electricity saving methods did you use in order to reduce the use of electricity?</t>
  </si>
  <si>
    <t>READ OPTIONS,  SELECT ALL THAT APPLY</t>
  </si>
  <si>
    <t xml:space="preserve">Если да, какие меры по экономии электроэнергии вы предприняли? </t>
  </si>
  <si>
    <t>ВЫБЕРИТЕ ВСЕ ПОДХОДЯЩИЕ ВАРИАНТЫ</t>
  </si>
  <si>
    <t xml:space="preserve">Эгер ооба болсо, электр энергиясын үнөмдөө үчүн кандай чараларды көрдүңүз? </t>
  </si>
  <si>
    <t>БАРДЫК ТИЕШЕЛҮҮ ВАРИАНТТАРДЫ ТАНДАҢЫЗ</t>
  </si>
  <si>
    <t>select_multiple TR8</t>
  </si>
  <si>
    <t>After the electricity and heating tariffs increase in 2024, was your household able to pay the monthly electricity and heating bills out of incomes your household currently received, without any additional support and actions?</t>
  </si>
  <si>
    <t>После повышения тарифов на электроэнергию и отопление, смогла ли ваша семья оплачивать коммунальные услуги без дополнительной поддержки и мер?</t>
  </si>
  <si>
    <t>Электр энергиясы жана жылытуу тарифтери жогорулагандан кийин, сиздин үй чарбаңыз кошумча жардамсыз жана чараларсыз коммуналдык кызматтарды төлөй алдыбы?</t>
  </si>
  <si>
    <t>If No, what support or actions did your household consider taking to pay the electricity and heating bills?</t>
  </si>
  <si>
    <t>READ OPTIONS, SELECT ALL THAT APPLY</t>
  </si>
  <si>
    <t>Если нет, какие меры ваше домохозяйство предприняло для оплаты электроэнергии и отопления?</t>
  </si>
  <si>
    <t xml:space="preserve">Эгерде жок болсо, электр жана жылытуу кызматтарын төлөө үчүн үй чарбаңыз кандай чараларды көрдү? </t>
  </si>
  <si>
    <t>select_multiple TR10</t>
  </si>
  <si>
    <t>Are you aware that the electricity tariffs will increase again in May 2025?</t>
  </si>
  <si>
    <t>Знаете ли вы, что тарифы на электроэнергию снова повысятся в мае 2025 года?</t>
  </si>
  <si>
    <t>Сиз электр энергиясынын тарифтери 2025-жылдын май айында дагы көтөрүлөрүн билесизби?</t>
  </si>
  <si>
    <t>In your view, which of the following groups of people will be most affected if electricity prices were doubled?</t>
  </si>
  <si>
    <t>Если тарифы на электроэнергию удвоятся, какие группы населения пострадают больше всего?</t>
  </si>
  <si>
    <t>Эгерде электр энергиясынын баасы эки эсеге кымбаттаса, кайсы топтор эң көп жабыр тартат деп ойлойсуз?</t>
  </si>
  <si>
    <t>In your opinion, what are the biggest challenges facing the energy sector in Kyrgyzstan?</t>
  </si>
  <si>
    <t>DO NOT READ OPTIONS, SELECT ALL THAT APPLY</t>
  </si>
  <si>
    <t xml:space="preserve">Каковы, по вашему мнению, основные проблемы в энергетическом секторе Кыргызстана? </t>
  </si>
  <si>
    <t>НЕ ЗАЧИТЫВАЙТЕ ВАРИАНТЫ, ВЫБЕРИТЕ ВСЕ ПОДХОДЯЩИЕ ВАРИАНТЫ</t>
  </si>
  <si>
    <t xml:space="preserve">Сиздин оюңузча, Кыргызстандагы энергетика секторундагы эң чоң көйгөйлөр кайсылар? </t>
  </si>
  <si>
    <t>ЖООПТОРДУ ОКУБАҢЫЗ, БАРДЫК ТИЕШЕЛҮҮ ВАРИАНТТАРДЫ ТАНДАҢЫЗ</t>
  </si>
  <si>
    <t>select_multiple TR13</t>
  </si>
  <si>
    <t>Energy subsidies are when the government REDUCES the price of electricity by paying a share of the cost. Therefore, energy subsidies make it CHEAPER for households to use electricity and heating. 
Do you know if the government provides energy subsidies for to households to reduce tariffs?</t>
  </si>
  <si>
    <t>Энергетические субсидии – это когда правительство снижает цену на электроэнергию, оплачивая часть стоимости. Таким образом, субсидии делают электричество и отопление БОЛЕЕ ДОСТУПНЫМИ для домохозяйств.
Знаете ли вы, что правительство предоставляет энергетические субсидии для домохозяйств с целью снижения тарифов?</t>
  </si>
  <si>
    <t>Энергетикалык субсидиялар – бул өкмөт электр энергиясынын бир бөлүгүн төлөп, анын баасын ылдыйлатат. Ошондуктан, энергетикалык субсидиялар үй чарбаларга электр энергиясын жана жылуулукту ЖЕТКИЛИКТҮҮ кылат.
Сиз өкмөт үй чарбалары үчүн тарифтерди төмөндөтүү максатында энергетикалык субсидияларды берип жатканын билесизби?</t>
  </si>
  <si>
    <t>What impact, if any, do you think an electricity tariff increase would have on the service quality?</t>
  </si>
  <si>
    <t>Как вы считаете, повышение тарифов на электроэнергию повлияет на качество услуг?</t>
  </si>
  <si>
    <t>Электр энергиясынын тарифтери жогоруласа, кызмат көрсөтүүнүн сапатына кандай таасир тийгизет деп ойлойсуз?</t>
  </si>
  <si>
    <t>tr15</t>
  </si>
  <si>
    <t>select_one TR15</t>
  </si>
  <si>
    <t>tr16</t>
  </si>
  <si>
    <t>select_multiple TR16</t>
  </si>
  <si>
    <t xml:space="preserve">The government will reduce electricity subsidies, resulting in your monthly bill to rise 23% for the same amount of electricity, what actions would your household take to cope with the higher costs? </t>
  </si>
  <si>
    <t>[SELECT ALL THAT APPLY]
[DON’T READ OUT OPTIONS]</t>
  </si>
  <si>
    <t>Правительство сократит субсидии на электроэнергию, в результате чего ваш ежемесячный счет возрастет на 23% за то же количество электроэнергии. Какие меры ваше домохозяйство примет, чтобы справиться с увеличением расходов?</t>
  </si>
  <si>
    <t>[ВЫБЕРИТЕ ВСЕ ПОДХОДЯЩИЕ ВАРИАНТЫ] 
[НЕ ОЗВУЧИВАЙТЕ ВАРИАНТЫ]</t>
  </si>
  <si>
    <t xml:space="preserve">Өкмөт электр энергиясына болгон субсидияларды кыскартат, натыйжада, сиздин ай сайын төлөнүүчү акчаңыз ошол эле көлөмдөгү электр энергиясы үчүн 23%га  көтөрүлөт. Сиздин үй чарбаңыз кымбаттаган  чыгымдарды жабуу үчүн кандай аракеттерди көрөт? </t>
  </si>
  <si>
    <t>[БАРДЫК ТИЕШЕЛҮҮ ВАРИАНТТАРДЫ ТАНДАҢЫЗ]
[ВАРИАНТТАРДЫ ОКУБАҢЫЗ]</t>
  </si>
  <si>
    <t>tr17</t>
  </si>
  <si>
    <t>select_multiple TR17</t>
  </si>
  <si>
    <t>The government of Kyrgyzstan will steadily have to reduce electricity subsidies for the next five years. How should the government use these additional revenues from the tariff increase?</t>
  </si>
  <si>
    <t>READ OPTIONS AND SELECT TOP 3 PRIORITIES</t>
  </si>
  <si>
    <t>Правительство Кыргызстана будет постепенно сокращать субсидии на электроэнергию в течение следующих пяти лет. Как правительство должно использовать эти дополнительные доходы от повышения тарифа?</t>
  </si>
  <si>
    <t>ПРОЧИТАЙТЕ ВАРИАНТЫ И ВЫБЕРИТЕ 3 ОСНОВНЫЕ ПРИОРИТЕТЫ</t>
  </si>
  <si>
    <t>Кыргызстандын өкмөтү кийинки беш жылда электр энергиясына болгон субсидияларды туруктуу түрдө азайтууга аргасыз болот. Тарифтерди көтөрүүдөн түшкөн бул кошумча кирешелерди өкмөт кантип пайдаланышы керек?</t>
  </si>
  <si>
    <t>ВАРИАНТТАРДЫ ОКУП БЕРИҢИЗ ЖАНА ҮЧ НЕГИЗГИ ВАРИАНТТАРДЫ ТАНДАҢЫЗ</t>
  </si>
  <si>
    <t>tr18</t>
  </si>
  <si>
    <t>select_multiple TR18</t>
  </si>
  <si>
    <t xml:space="preserve">What communication channels do you trust most to obtain reliable information on issues that affect you? </t>
  </si>
  <si>
    <t>SELECT TOP 3</t>
  </si>
  <si>
    <t xml:space="preserve">Каким каналам связи вы доверяете больше всего для получения достоверной информации по вопросам, касающимся вас? </t>
  </si>
  <si>
    <t>ВЫБЕРИТЕ 3 ОСНОВНЫХ КАНАЛА</t>
  </si>
  <si>
    <t xml:space="preserve">Сизге тиешелүү маселелер боюнча ишенимдүү маалымат алуу үчүн кайсы байланыш каналдарына көбүрөөк ишенесиз? </t>
  </si>
  <si>
    <t>3 НЕГИЗГИ КАНАЛДЫ ТАНДАҢЫЗ</t>
  </si>
  <si>
    <t>Highly unreasonable</t>
  </si>
  <si>
    <t>Unreasonable</t>
  </si>
  <si>
    <t>Somewhat reasonable</t>
  </si>
  <si>
    <t>Reasonable</t>
  </si>
  <si>
    <t>Highly reasonable</t>
  </si>
  <si>
    <t>Чрезвычайно необоснованные</t>
  </si>
  <si>
    <t>Необоснованные</t>
  </si>
  <si>
    <t>В некоторой степени обоснованные</t>
  </si>
  <si>
    <t>Обоснованные</t>
  </si>
  <si>
    <t xml:space="preserve">Полностью обоснованные </t>
  </si>
  <si>
    <t>Абдан негизсиз</t>
  </si>
  <si>
    <t>Негизсиз</t>
  </si>
  <si>
    <t>Кандайдыр бир деңгээлде негиздүү</t>
  </si>
  <si>
    <t>Негиздүү</t>
  </si>
  <si>
    <t>Толук негиздүү</t>
  </si>
  <si>
    <t xml:space="preserve">No change or decreased </t>
  </si>
  <si>
    <t>10-30%</t>
  </si>
  <si>
    <t>30-50%</t>
  </si>
  <si>
    <t>50-75%</t>
  </si>
  <si>
    <t>75-100%</t>
  </si>
  <si>
    <t>Doubled (100%)</t>
  </si>
  <si>
    <t xml:space="preserve">Без изменений или снизились </t>
  </si>
  <si>
    <t xml:space="preserve">Увеличились менее чем на 10% </t>
  </si>
  <si>
    <t>Увеличились на 10-30%</t>
  </si>
  <si>
    <t>Увеличились на 30-50%</t>
  </si>
  <si>
    <t>Увеличились на 50-75%</t>
  </si>
  <si>
    <t>Увеличились на 75-100%</t>
  </si>
  <si>
    <t>Удвоились (100%)</t>
  </si>
  <si>
    <t xml:space="preserve">Өзгөрүүсүз же төмөндөдү </t>
  </si>
  <si>
    <t>10%дан аз өстү</t>
  </si>
  <si>
    <t>10-30%га өстү</t>
  </si>
  <si>
    <t>30-50%га өстү</t>
  </si>
  <si>
    <t>50-75%га өстү</t>
  </si>
  <si>
    <t>75-100%га өстү</t>
  </si>
  <si>
    <t xml:space="preserve">Эки эсеге өстү (100%) </t>
  </si>
  <si>
    <t xml:space="preserve">Turning off lights and unplugging electronics when not in use </t>
  </si>
  <si>
    <t xml:space="preserve">Adjusting thermostat settings (e.g., lowering heating, raising cooling) </t>
  </si>
  <si>
    <t xml:space="preserve">Watch TV less frequently </t>
  </si>
  <si>
    <t xml:space="preserve">Reduce the use of Computers, Tablets and Cell phones </t>
  </si>
  <si>
    <t xml:space="preserve">Switch off other electric appliances and equipment </t>
  </si>
  <si>
    <t xml:space="preserve">Install solar power </t>
  </si>
  <si>
    <t xml:space="preserve">Using energy-efficient light bulbs (e.g., LED, CFL) </t>
  </si>
  <si>
    <t xml:space="preserve">Purchase energy-efficient home appliances (i.e. refrigerators) </t>
  </si>
  <si>
    <t xml:space="preserve">Increase the use of coal </t>
  </si>
  <si>
    <t xml:space="preserve">Sealing air leaks and insulating the home </t>
  </si>
  <si>
    <t xml:space="preserve">Выключаем свет и отключаем электроприборы, когда они не используются </t>
  </si>
  <si>
    <t xml:space="preserve">Регулировка термостата (например, снижение отопления, увеличение охлаждения) </t>
  </si>
  <si>
    <t xml:space="preserve">Сокращение времени просмотра телевизора </t>
  </si>
  <si>
    <t xml:space="preserve">Уменьшение времени использования компьютеров, планшетов и мобильных телефонов </t>
  </si>
  <si>
    <t xml:space="preserve">Выключаем другие электрические приборы </t>
  </si>
  <si>
    <t xml:space="preserve">Установка солнечных панелей </t>
  </si>
  <si>
    <t xml:space="preserve">Используем  энергосберегающие лампочки (LED, CFL) </t>
  </si>
  <si>
    <t xml:space="preserve">Приобретение энергоэффективной бытовой техники (например, холодильников) </t>
  </si>
  <si>
    <t xml:space="preserve">Увеличили использования угля </t>
  </si>
  <si>
    <t xml:space="preserve">Герметизация и утепление дома </t>
  </si>
  <si>
    <t xml:space="preserve">Жарыктарды өчүрүү жана колдонулбаган электрожабдыктарды токтон сууруу </t>
  </si>
  <si>
    <t xml:space="preserve">Термостатты жөнгө салуу (мисалы, жылытууну төмөндөтүү, муздатууну жогорулатуу) </t>
  </si>
  <si>
    <t xml:space="preserve">Телевизор көрүүнү азайтуу </t>
  </si>
  <si>
    <t xml:space="preserve">Компьютер, планшет жана уюлдук телефондорду колдонуу убактысын азайтуу </t>
  </si>
  <si>
    <t xml:space="preserve">Башка электр жабдыктарын өчүрүү </t>
  </si>
  <si>
    <t xml:space="preserve">Күн панельдерин орнотуу </t>
  </si>
  <si>
    <t xml:space="preserve">Энергия үнөмдөгүч лампочкаларды орнотуу (LED, CFL) </t>
  </si>
  <si>
    <t xml:space="preserve">Энергияны үнөмдөгөн үй-тиричилик техникаларын сатып алуу (мисалы, муздаткычтар) </t>
  </si>
  <si>
    <t xml:space="preserve">Көмүрдү көбүрөөк колдонуу </t>
  </si>
  <si>
    <t xml:space="preserve">Үйдүн тешиктерин жабуу жана жылуулоо </t>
  </si>
  <si>
    <t xml:space="preserve">Yes, we can pay </t>
  </si>
  <si>
    <t xml:space="preserve">No, we need additional support or income sources </t>
  </si>
  <si>
    <t xml:space="preserve">Don’t know </t>
  </si>
  <si>
    <t xml:space="preserve">Да, мы можем оплачивать </t>
  </si>
  <si>
    <t xml:space="preserve">Нет, нам нужна дополнительная поддержка или источники дохода </t>
  </si>
  <si>
    <t xml:space="preserve">Ооба, биз төлөй алабыз </t>
  </si>
  <si>
    <t xml:space="preserve">Жок, бизге кошумча жардам же киреше булактары керек </t>
  </si>
  <si>
    <t xml:space="preserve">Use savings </t>
  </si>
  <si>
    <t>Reduce food consumption</t>
  </si>
  <si>
    <t>Reduce non-food consumption</t>
  </si>
  <si>
    <t xml:space="preserve">Borrow from financial institution </t>
  </si>
  <si>
    <t xml:space="preserve">Borrow from family and friends </t>
  </si>
  <si>
    <t xml:space="preserve">Sale of assets </t>
  </si>
  <si>
    <t xml:space="preserve">Engage in additional work </t>
  </si>
  <si>
    <t xml:space="preserve">Delay bill payment </t>
  </si>
  <si>
    <t xml:space="preserve">Apply assistance from government </t>
  </si>
  <si>
    <t xml:space="preserve">Apply assistance from NGO </t>
  </si>
  <si>
    <t xml:space="preserve">Использование сбережений </t>
  </si>
  <si>
    <t xml:space="preserve">Сокращение потребления продуктов питания </t>
  </si>
  <si>
    <t xml:space="preserve">Сокращение потребления непродовольственных товаров </t>
  </si>
  <si>
    <t xml:space="preserve">Займ в финансовых учреждениях </t>
  </si>
  <si>
    <t xml:space="preserve">Займ у членов семьи и друзей </t>
  </si>
  <si>
    <t xml:space="preserve">Продажа активов </t>
  </si>
  <si>
    <t xml:space="preserve">Дополнительная работа </t>
  </si>
  <si>
    <t>Задержка оплаты счета</t>
  </si>
  <si>
    <t xml:space="preserve">Обращение за помощью к государству </t>
  </si>
  <si>
    <t xml:space="preserve">Обращение за помощью к НПО </t>
  </si>
  <si>
    <t xml:space="preserve">Аманат акчаны колдонуу </t>
  </si>
  <si>
    <t xml:space="preserve">Тамак-аш керектөөнү азайтуу </t>
  </si>
  <si>
    <t xml:space="preserve">Азыктан тышкары керектөөлөрдү азайтуу </t>
  </si>
  <si>
    <t>Финансылык мекемелерден насыя алуу</t>
  </si>
  <si>
    <t xml:space="preserve">Үй-бүлө мүчөлөрүнөн жана достордон карыз алуу </t>
  </si>
  <si>
    <t xml:space="preserve">Активдерди сатуу </t>
  </si>
  <si>
    <t xml:space="preserve">Кошумча жумушка орношуу </t>
  </si>
  <si>
    <t xml:space="preserve">Төлөмдү кечиктирүү </t>
  </si>
  <si>
    <t xml:space="preserve">Өкмөткө жардам сурап кайрылуу </t>
  </si>
  <si>
    <t xml:space="preserve">ӨЭУга жардам сурап кайрылуу </t>
  </si>
  <si>
    <t xml:space="preserve">Low-income households  </t>
  </si>
  <si>
    <t xml:space="preserve">Middle income households </t>
  </si>
  <si>
    <t xml:space="preserve">High income households </t>
  </si>
  <si>
    <t xml:space="preserve">All will be equally affected </t>
  </si>
  <si>
    <t>Домохозяйства с низким доходом</t>
  </si>
  <si>
    <t>Домохозяйства со средним доходом</t>
  </si>
  <si>
    <t>Домохозяйства с высоким доходом</t>
  </si>
  <si>
    <t xml:space="preserve">Все пострадают в равной степени </t>
  </si>
  <si>
    <t>Аз кирешелүү үй чарбалар ..</t>
  </si>
  <si>
    <t xml:space="preserve">Орто кирешелүү үй чарбалар </t>
  </si>
  <si>
    <t xml:space="preserve">Жогорку кирешелүү үй чарбалар </t>
  </si>
  <si>
    <t xml:space="preserve">Бардыгы бирдей деңгээлде жабыр тартат </t>
  </si>
  <si>
    <t>Aging infrastructure and the need for modernization</t>
  </si>
  <si>
    <t>Dependence on fossil fuels and lack of renewable energy sources</t>
  </si>
  <si>
    <t>Inefficiencies in energy management and distribution</t>
  </si>
  <si>
    <t>Energy shortages or unreliable supply</t>
  </si>
  <si>
    <t>Rising energy demand outpacing supply</t>
  </si>
  <si>
    <t>Tariff policies and pricing structures</t>
  </si>
  <si>
    <t>Corruption or lack of transparency in the sector</t>
  </si>
  <si>
    <t>Poor access for some households</t>
  </si>
  <si>
    <t>Air pollution/environmental impact</t>
  </si>
  <si>
    <t xml:space="preserve">Устаревшая инфраструктура и необходимость модернизации </t>
  </si>
  <si>
    <t xml:space="preserve">Зависимость от ископаемого топлива и нехватка возобновляемых источников энергии </t>
  </si>
  <si>
    <t>Неэффективность в управлении и распределении энергией</t>
  </si>
  <si>
    <t>Дефицит энергии или ненадежное снабжение</t>
  </si>
  <si>
    <t>Растущий спрос на энергию опережает предложение</t>
  </si>
  <si>
    <t>Тарифная политика и ценообразование</t>
  </si>
  <si>
    <t>Коррупция и недостаток прозрачности в секторе</t>
  </si>
  <si>
    <t xml:space="preserve">Недостаточный доступ для некоторых домохозяйств </t>
  </si>
  <si>
    <t>Загрязнение воздуха / воздействие на окружающую среду</t>
  </si>
  <si>
    <t>Эскирген инфраструктура жана жаңылоо зарылдыгы</t>
  </si>
  <si>
    <t>Отунга көз карандылык жана жаңыланма энергия булактарынын жетишсиздиги ..</t>
  </si>
  <si>
    <t xml:space="preserve">Энергияны башкаруу жана бөлүштүрүүдөгү натыйжасыздык </t>
  </si>
  <si>
    <t>Энергиянын жетишсиздиги же ишенимсиз камсыздоо</t>
  </si>
  <si>
    <t xml:space="preserve">Энергиянын сунушунун, өсүп жаткан суроо-талаптан артта калуусу </t>
  </si>
  <si>
    <t>Тариф саясаты жана баа түзүлүшү</t>
  </si>
  <si>
    <t>Тармактагы коррупция жана ачык-айкындуулуктун жетишсиздиги</t>
  </si>
  <si>
    <t xml:space="preserve">Кээ бир үй чарбалар үчүн жеткиликтүүлүктүн начарлыгы </t>
  </si>
  <si>
    <t>Абанын булганышы / айлана-чөйрөгө тийгизген таасири</t>
  </si>
  <si>
    <t>Service quality improved</t>
  </si>
  <si>
    <t>Service quality stayed the same</t>
  </si>
  <si>
    <t>Service quality worsen</t>
  </si>
  <si>
    <t>I’m not sure</t>
  </si>
  <si>
    <t xml:space="preserve">Качество обслуживания улучшится </t>
  </si>
  <si>
    <t xml:space="preserve">Качество обслуживания останется на том же уровне </t>
  </si>
  <si>
    <t xml:space="preserve">Качество обслуживания ухудшится </t>
  </si>
  <si>
    <t xml:space="preserve">Другое, уточните </t>
  </si>
  <si>
    <t>Кызмат көрсөтүү сапаты жакшырат</t>
  </si>
  <si>
    <t>Кызмат көрсөтүү сапаты ошол эле деңгээлде калат</t>
  </si>
  <si>
    <t>Кызмат көрсөтүү сапаты начарлайт</t>
  </si>
  <si>
    <t>Жооп берүү кыйын</t>
  </si>
  <si>
    <t>Use more coal for heating</t>
  </si>
  <si>
    <t xml:space="preserve">Reduce use of electrical appliances </t>
  </si>
  <si>
    <t xml:space="preserve">Switch to more energy-efficient appliances </t>
  </si>
  <si>
    <t xml:space="preserve">Cut back on other household expenses </t>
  </si>
  <si>
    <t>Reduce electricity consumption</t>
  </si>
  <si>
    <t xml:space="preserve">Do nothing and absorb the additional cost </t>
  </si>
  <si>
    <t>Использовать больше угля для отопления</t>
  </si>
  <si>
    <t>Сократить использование электрических приборов</t>
  </si>
  <si>
    <t>Перейти на более энергоэффективные приборы</t>
  </si>
  <si>
    <t>Сократить другие бытовые расходы</t>
  </si>
  <si>
    <t>Снизить потребление электроэнергии</t>
  </si>
  <si>
    <t>Ничего не делать и покрывать дополнительные расходы</t>
  </si>
  <si>
    <t>Жылуулук үчүн көбүрөөк көмүр пайдалануу</t>
  </si>
  <si>
    <t>Электр жабдыктарын колдонууну азайтуу</t>
  </si>
  <si>
    <t>Энергияны үнөмдөгөн жабдыктарга өтүү</t>
  </si>
  <si>
    <t xml:space="preserve">Башка үй чарбалык чыгымдарды азайтуу </t>
  </si>
  <si>
    <t>Электр энергиясын керектөөнү азайтуу</t>
  </si>
  <si>
    <t>Эч нерсе кылбай, кошумча чыгымды көтөрүү</t>
  </si>
  <si>
    <t>To lower taxes on the goods and services that people buy</t>
  </si>
  <si>
    <t>To lower taxes on employment income</t>
  </si>
  <si>
    <t>To provide help to the poor and vulnerable people.</t>
  </si>
  <si>
    <t>To improve electricity and gas services</t>
  </si>
  <si>
    <t>To invest in green investments to mitigate climate change</t>
  </si>
  <si>
    <t>To finance pensions for the elderly.</t>
  </si>
  <si>
    <t>To invest in education and health</t>
  </si>
  <si>
    <t>To invest in infrastructure</t>
  </si>
  <si>
    <t>Снизить налоги на товары и услуги, которые покупают люди</t>
  </si>
  <si>
    <t>Снизить налоги на доходы от занятости</t>
  </si>
  <si>
    <t>Оказать помощь бедным и уязвимым слоям населения</t>
  </si>
  <si>
    <t>Улучшить услуги электроэнергии и газа</t>
  </si>
  <si>
    <t>Инвестировать в «зелёные» инвестиции для борьбы с изменением климата</t>
  </si>
  <si>
    <t>Для финансирования пенсий пожилым людям.</t>
  </si>
  <si>
    <t>Инвестировать в образование и здравоохранение</t>
  </si>
  <si>
    <t>Инвестировать в инфраструктуру</t>
  </si>
  <si>
    <t>Предоставлять трансферты всем гражданам в равной степени</t>
  </si>
  <si>
    <t>Адамдар сатып алган товарлар жана кызматтар үчүн салыкты төмөндөтүү</t>
  </si>
  <si>
    <t>Жумуштуулуктан чогултулуучу салыктарды төмөндөтүү</t>
  </si>
  <si>
    <t>Жакыр жана аярлуу катмарларга жардам көрсөтүү.</t>
  </si>
  <si>
    <t>Электр энергиясы жана газ кызматтарын жакшыртуу</t>
  </si>
  <si>
    <t>Климаттын өзгөрүүсүн азайтуу үчүн жашыл инвестицияларга инвестиция салуу</t>
  </si>
  <si>
    <t>Кары адамдардын пенсияларына жумшоо.</t>
  </si>
  <si>
    <t>Билим берүү жана саламаттык сактоо тармагына инвестиция салуу</t>
  </si>
  <si>
    <t>Инфраструктурага инвестиция салуу</t>
  </si>
  <si>
    <t>Бардык жарандарга төлөмдөрдү тең бөлүштүрүү</t>
  </si>
  <si>
    <t>Newspaper</t>
  </si>
  <si>
    <t>WhatsApp/Telegram</t>
  </si>
  <si>
    <t>Other Social media (Facebook, Instagram, Tik-Tok, Twitter)</t>
  </si>
  <si>
    <t>Online websites</t>
  </si>
  <si>
    <t>SMS</t>
  </si>
  <si>
    <t>Family and friends</t>
  </si>
  <si>
    <t>Work colleagues</t>
  </si>
  <si>
    <t>Газета</t>
  </si>
  <si>
    <t>Другие социальные сети (Facebook, Instagram, Tik-Tok, Twitter)</t>
  </si>
  <si>
    <t>Онлайн сайты</t>
  </si>
  <si>
    <t>Семья и друзья</t>
  </si>
  <si>
    <t>Коллеги по работе</t>
  </si>
  <si>
    <t>Никому не доверяю</t>
  </si>
  <si>
    <t>Башка социалдык тармактар (Facebook, Instagram, Tik-Tok, Twitter)</t>
  </si>
  <si>
    <t>Онлайн сайттар</t>
  </si>
  <si>
    <t>Үй-бүлө жана достор</t>
  </si>
  <si>
    <t>Жумуштагы кесиптештер</t>
  </si>
  <si>
    <t>Эч кимге ишенбейм</t>
  </si>
  <si>
    <t>xp_</t>
  </si>
  <si>
    <t>EXPERIMENT</t>
  </si>
  <si>
    <t>ЭКСПЕРИМЕНТ</t>
  </si>
  <si>
    <t>Randomly selected reason</t>
  </si>
  <si>
    <t>exp_</t>
  </si>
  <si>
    <t>What main type of heating system do you use in your home?</t>
  </si>
  <si>
    <t>Какой основной вид отопления используется в вашем доме?</t>
  </si>
  <si>
    <t>Сиздин үйүңүздө кандай негизги жылытуу системасы колдонулат?</t>
  </si>
  <si>
    <t>sh23</t>
  </si>
  <si>
    <t>select_one SH23</t>
  </si>
  <si>
    <t>${sh23}=96</t>
  </si>
  <si>
    <t xml:space="preserve">Central heating </t>
  </si>
  <si>
    <t xml:space="preserve">Individual gas boiler </t>
  </si>
  <si>
    <t xml:space="preserve">Electric heating (e.g., electric radiators, underfloor heating) </t>
  </si>
  <si>
    <t xml:space="preserve">Wood/coal stove or solid fuel boiler </t>
  </si>
  <si>
    <t xml:space="preserve">Other (please specify) </t>
  </si>
  <si>
    <t>SH23</t>
  </si>
  <si>
    <t xml:space="preserve">Центральное отопление </t>
  </si>
  <si>
    <t xml:space="preserve">Индивидуальный газовый котел </t>
  </si>
  <si>
    <t xml:space="preserve">Электрическое отопление (например, электрические радиаторы, теплый пол) </t>
  </si>
  <si>
    <t xml:space="preserve">Дровяная/угольная печь или твердотопливный котел </t>
  </si>
  <si>
    <t xml:space="preserve">Борбордук жылытуу </t>
  </si>
  <si>
    <t xml:space="preserve">Жеке газ жылыткычы </t>
  </si>
  <si>
    <t xml:space="preserve">Электр жылытуу (мисалы, электр радиаторлору, жылуулук пол) </t>
  </si>
  <si>
    <t xml:space="preserve">Отун/көмүр же катуу отун менен иштеген жылыткыч </t>
  </si>
  <si>
    <t xml:space="preserve">Which utility were you unable to pay? </t>
  </si>
  <si>
    <t>SELECT ALL THAT APPLY</t>
  </si>
  <si>
    <t>Какие коммунальные услуги вы не смогли оплатить?</t>
  </si>
  <si>
    <t xml:space="preserve">Кайсы коммуналдык кызматтарды төлөй албай калдыңыз? </t>
  </si>
  <si>
    <t>wb6a</t>
  </si>
  <si>
    <t>WB6A</t>
  </si>
  <si>
    <t>Heating</t>
  </si>
  <si>
    <t>Natural Gas</t>
  </si>
  <si>
    <t>Water</t>
  </si>
  <si>
    <t>Отопление</t>
  </si>
  <si>
    <t>Электричествo</t>
  </si>
  <si>
    <t>Природный газ</t>
  </si>
  <si>
    <t>Вода</t>
  </si>
  <si>
    <t>Жылытуу</t>
  </si>
  <si>
    <t>Электр энергиясы</t>
  </si>
  <si>
    <t>Табигый газ</t>
  </si>
  <si>
    <t>Суу</t>
  </si>
  <si>
    <t>What were the reasons why your households found it difficult to pay the utilities selected above?</t>
  </si>
  <si>
    <t>SELECT TWO</t>
  </si>
  <si>
    <t xml:space="preserve">Каковы основные причины, по которым вашему домохозяйству было трудно оплатить коммунальные услуги? </t>
  </si>
  <si>
    <t>ВЫБЕРИТЕ ДВА ВАРИАНТА</t>
  </si>
  <si>
    <t xml:space="preserve">Коммуналдык кызматтар үчүн төлөө кыйынчылыгынын негизги себептери кандай болду? </t>
  </si>
  <si>
    <t>ЭКИ ВАРИАНТТЫ ТАНДАҢЫЗ</t>
  </si>
  <si>
    <t>wb6b</t>
  </si>
  <si>
    <t>count-selected(.)&lt;=2</t>
  </si>
  <si>
    <t>select_multiple WB6B</t>
  </si>
  <si>
    <t xml:space="preserve">Unemployment (Lack of job) </t>
  </si>
  <si>
    <t xml:space="preserve">Seasonal or informal job </t>
  </si>
  <si>
    <t xml:space="preserve">Utilities costs have increased significantly </t>
  </si>
  <si>
    <t xml:space="preserve">General increase in cost of living </t>
  </si>
  <si>
    <t>Payment system/process is complicated or takes too much time</t>
  </si>
  <si>
    <t>Безработица (отсутствие работы)</t>
  </si>
  <si>
    <t>Сезонная или неофициальная работа</t>
  </si>
  <si>
    <t>Значительное увеличение стоимости коммунальных услуг</t>
  </si>
  <si>
    <t>Общее увеличение стоимости жизни</t>
  </si>
  <si>
    <t>Система оплаты сложная или занимает слишком много времени</t>
  </si>
  <si>
    <t>Жумушсуздук (Жумуштун жоктугу)</t>
  </si>
  <si>
    <t>Мезгилдүү же расмий эмес жумуш</t>
  </si>
  <si>
    <t>Коммуналдык төлөмдөрдүн олуттуу өсүшү</t>
  </si>
  <si>
    <t>Жалпы жашоо наркынын өсүшү...</t>
  </si>
  <si>
    <t>Төлөө системасы татаал же өтө көп убакытты талап кылат</t>
  </si>
  <si>
    <t>random()</t>
  </si>
  <si>
    <t>rndtreatment</t>
  </si>
  <si>
    <t>rndtrtvalue</t>
  </si>
  <si>
    <t>xp_tra</t>
  </si>
  <si>
    <t>xp_trb</t>
  </si>
  <si>
    <t>${rndtreatment}=2</t>
  </si>
  <si>
    <t>${rndtreatment}=3</t>
  </si>
  <si>
    <t>The government will raise the electricity price by 26 tyyin such that your electricity bill will increase by 23% in May 2025. Do you support or oppose this reform?</t>
  </si>
  <si>
    <t>Правительство повысит цену на электроэнергию на 26 тыйынов, в результате чего ваш счет за электроэнергию в мае 2025 года увеличится на 23%. Вы поддерживаете или выступаете против этой реформы?</t>
  </si>
  <si>
    <t>Өкмөт электр энергиясына болгон бааны 26 тыйынга көтөрөт, 2025-жылдын май айында электр энергиясына болгон төлөм 23%га көтөрүлөт. Сиз бул реформаны колдойсузбу же каршысызбы?</t>
  </si>
  <si>
    <t>xp13_question</t>
  </si>
  <si>
    <t>select_one XP13</t>
  </si>
  <si>
    <t xml:space="preserve">What are the reasons you support an increase in electricity prices? </t>
  </si>
  <si>
    <t>SELECT ALL THAT APPLY, READ OPTIONS</t>
  </si>
  <si>
    <t xml:space="preserve">По каким причинам вы поддерживаете повышение цен на электроэнергию? </t>
  </si>
  <si>
    <t>ВЫБЕРИТЕ ВСЕ ПОДХОДЯЩИЕ ВАРИАНТЫ, ЗАЧИТАЙТЕ ВАРИАНТЫ</t>
  </si>
  <si>
    <t xml:space="preserve">Эмне үчүн сиз электр энергиясынын баасынын көтөрүлүшүн колдойсуз? </t>
  </si>
  <si>
    <t>БАРДЫК ТИЕШЕЛҮҮ ВАРИАНТТАРДЫ ТАНДАҢЫЗ, ВАРИАНТТАРДЫ ОКУГУЛА</t>
  </si>
  <si>
    <t>xp14a_question</t>
  </si>
  <si>
    <t>xp14b_question</t>
  </si>
  <si>
    <t>What are the reasons you oppose an increase in electricity prices?</t>
  </si>
  <si>
    <t xml:space="preserve">По каким причинам вы выступаете против повышения цен на электроэнергию? </t>
  </si>
  <si>
    <t>rndx15value</t>
  </si>
  <si>
    <t>rndx15options</t>
  </si>
  <si>
    <t>select_one X15OPTIONS</t>
  </si>
  <si>
    <t>X15OPTIONS</t>
  </si>
  <si>
    <t>rndxp15lbl</t>
  </si>
  <si>
    <t>rndxp15</t>
  </si>
  <si>
    <t>jr:choice-name(${rndxp15}, '${rndx15options}')</t>
  </si>
  <si>
    <t>xp15a_question</t>
  </si>
  <si>
    <t>select_one XP15A</t>
  </si>
  <si>
    <t>xp15b_question</t>
  </si>
  <si>
    <t>xp15c_question</t>
  </si>
  <si>
    <t>select_one XP16</t>
  </si>
  <si>
    <t>xp16_question</t>
  </si>
  <si>
    <t>What do you think of the following statements?
Eliminating energy subsidies will help the country invest more in critical sectors such as health, education and social protection?</t>
  </si>
  <si>
    <t>Что вы думаете о следующих утверждениях?
Отмена энергетических субсидий поможет стране больше инвестировать в такие критически важные сектора, как здравоохранение, образование и социальная защита?</t>
  </si>
  <si>
    <t>Төмөнкү билдирүүлөргө кандай карайсыз?
Энергетикалык субсидияларды жоюу өлкөгө саламаттыкты сактоо, билим берүү жана социалдык коргоо сыяктуу маанилүү тармактарга көбүрөөк инвестиция салууга жардам береби?</t>
  </si>
  <si>
    <t>To what extent do you agree that government will improve energy service (eg: gas, electricity) after energy tariff reform?</t>
  </si>
  <si>
    <t>В какой степени вы согласны с тем, что правительство улучшит энергетические услуги (например, газ, электроэнергия) после реформы тарифов на электроэнергию?</t>
  </si>
  <si>
    <t>Электр энергиясына тариф реформасынан кийин өкмөт энергетикалык кызматтарды (мисалы, газ, электр энергиясы) жакшыртат дегенге канчалык деңгээлде кошуласыз?</t>
  </si>
  <si>
    <t>xp17_question</t>
  </si>
  <si>
    <t>rndx18value</t>
  </si>
  <si>
    <t>rndxp18</t>
  </si>
  <si>
    <t>If the government of Kyrgyzstan were to provide cash transfers to assist households with higher electricity prices for this year, which of the following approaches should they pursue:</t>
  </si>
  <si>
    <t>select_one XP18A</t>
  </si>
  <si>
    <t>select_one XP18B</t>
  </si>
  <si>
    <t>select_one XP18C</t>
  </si>
  <si>
    <t>A. Если бы правительство Кыргызстана предоставило денежные выплаты для помощи домохозяйствам для компенсации роста цен на электроэнергию в этом году, какой из следующих подходов они должны использовать:</t>
  </si>
  <si>
    <t>B. Если бы правительство Кыргызстана предоставило денежные трансферты для помощи домохозяйствам для компенсации роста цен на электроэнергию в этом году, какой из следующих подходов они должны использовать:</t>
  </si>
  <si>
    <t>C. Если бы правительство Кыргызстана предоставило денежные трансферты для помощи домохозяйствам для компенсации роста цен на электроэнергию в этом году, какой из следующих подходов они должны использовать:</t>
  </si>
  <si>
    <t>A. Эгерде Кыргызстандын Өкмөтү быйыл электр энергиясынын жогорулаган баасын төлөөгө жардам берүү үчүн үй чарбаларына акчалай которууларды бере турган болсо, алар төмөндөгү ыкмалардын кайсынысын колдонушу керек?</t>
  </si>
  <si>
    <t>B. Эгерде Кыргызстандын Өкмөтү быйыл электр энергиясынын жогорулаган баасын төлөөгө жардам берүү үчүн үй чарбаларына акчалай которууларды бере турган болсо, алар төмөндөгү ыкмалардын кайсынысын колдонушу керек?</t>
  </si>
  <si>
    <t>C. Эгерде Кыргызстандын Өкмөтү быйыл электр энергиясынын жогорулаган баасын төлөөгө жардам берүү үчүн үй чарбаларына акчалай которууларды бере турган болсо, алар төмөндөгү ыкмалардын кайсынысын колдонушу керек?</t>
  </si>
  <si>
    <t>${rndxp18}=1</t>
  </si>
  <si>
    <t>${rndxp18}=2</t>
  </si>
  <si>
    <t>${rndxp18}=3</t>
  </si>
  <si>
    <t xml:space="preserve">Strongly support </t>
  </si>
  <si>
    <t>Somewhat support</t>
  </si>
  <si>
    <t>Somewhat oppose</t>
  </si>
  <si>
    <t>Strongly oppose</t>
  </si>
  <si>
    <t xml:space="preserve">Полностью поддерживаю </t>
  </si>
  <si>
    <t>В некоторой степени поддерживаю</t>
  </si>
  <si>
    <t xml:space="preserve">В некоторой степени против </t>
  </si>
  <si>
    <t>Категорически против</t>
  </si>
  <si>
    <t xml:space="preserve">Толугу менен колдойм </t>
  </si>
  <si>
    <t xml:space="preserve">Кандайдыр бир дэңгеелде колдойм </t>
  </si>
  <si>
    <t>Кандайдыр бир дэңгеелде каршымын</t>
  </si>
  <si>
    <t>Толугу менен каршымын</t>
  </si>
  <si>
    <t>Because a large part of the subsidy goes to the rich</t>
  </si>
  <si>
    <t>Better for low-income households</t>
  </si>
  <si>
    <t>Because the price is too low to cover electricity supply costs</t>
  </si>
  <si>
    <t>So, the government can spend more on public investments and social programs</t>
  </si>
  <si>
    <t>To support investments in cleaner and renewable energy sources</t>
  </si>
  <si>
    <t>To improve the reliability and quality of electricity services and reduce power outages</t>
  </si>
  <si>
    <t>To invest in upgrading/maintaining energy infrastructure</t>
  </si>
  <si>
    <t>To reduce the fiscal burden</t>
  </si>
  <si>
    <t xml:space="preserve">Потому что большая часть субсидий достается богатым </t>
  </si>
  <si>
    <t xml:space="preserve">Лучше для домохозяйств с низким доходом </t>
  </si>
  <si>
    <t xml:space="preserve">Потому что цена слишком низкая, для покрытия затрат на электроснабжение </t>
  </si>
  <si>
    <t xml:space="preserve">Чтобы правительство могло тратить больше на государственные инвестиции и социальные программы </t>
  </si>
  <si>
    <t xml:space="preserve">Для поддержки инвестиций в более чистые и возобновляемые источники энергии </t>
  </si>
  <si>
    <t xml:space="preserve">Для повышения надежности и качества услуг электроснабжения и сокращения отключений электроэнергии </t>
  </si>
  <si>
    <t xml:space="preserve">Для инвестирования в модернизацию/ обслуживание энергетической инфраструктуры </t>
  </si>
  <si>
    <t xml:space="preserve">Для снижения бюджетной нагрузки </t>
  </si>
  <si>
    <t xml:space="preserve">Другое, укажите </t>
  </si>
  <si>
    <t xml:space="preserve">Анткени субсидиянын чоң бөлүгү байларга кетет </t>
  </si>
  <si>
    <t xml:space="preserve">Төмөн кирешелүү үй-бүлөлөр үчүн жакшы </t>
  </si>
  <si>
    <t xml:space="preserve">Себеби баасы электр энергия менен камсыздоо чыгымдарын жабууга жетишсиз </t>
  </si>
  <si>
    <t xml:space="preserve">Өкмөт мамлекеттик инвестицияларга жана социалдык программаларга көбүрөөк каражат жумшай алат </t>
  </si>
  <si>
    <t xml:space="preserve">Таза жана кайра жаңыланма энергия булактарына инвестицияларды колдоо үчүн </t>
  </si>
  <si>
    <t xml:space="preserve">Электр энергиясынын сапатын жана ишенимдүүлүгүн жакшыртуу, жарыктын өчүшүн азайтуу үчүн </t>
  </si>
  <si>
    <t xml:space="preserve">Энергетикалык инфраструктураны жаңыртуу/тейлөө үчүн инвестициялоо </t>
  </si>
  <si>
    <t xml:space="preserve">Бюджеттик жүктү азайтуу үчүн </t>
  </si>
  <si>
    <t xml:space="preserve">Башка, көрсөтүңүз </t>
  </si>
  <si>
    <t>Will lead to greater inflation</t>
  </si>
  <si>
    <t>Will hurt low-income households</t>
  </si>
  <si>
    <t>Will hurt households who have given up coal</t>
  </si>
  <si>
    <t>Will have to switch to coal to heat my home</t>
  </si>
  <si>
    <t>Electricity is a basic necessity that should remain affordable</t>
  </si>
  <si>
    <t>Service quality will not improve even with higher prices</t>
  </si>
  <si>
    <t>No compensation measures</t>
  </si>
  <si>
    <t>Do not trust how the additional revenue will be  used</t>
  </si>
  <si>
    <t xml:space="preserve">Приведет к большей инфляции </t>
  </si>
  <si>
    <t xml:space="preserve">Нанесет ущерб домохозяйствам с низким доходом </t>
  </si>
  <si>
    <t xml:space="preserve">Нанесет ущерб домохозяйствам, отказавшимся от угля </t>
  </si>
  <si>
    <t xml:space="preserve">Придется перейти на уголь для отопления дома </t>
  </si>
  <si>
    <t xml:space="preserve">Электричество – это базовая потребность, которая должна оставаться доступной </t>
  </si>
  <si>
    <t xml:space="preserve">Качество обслуживания не улучшится даже при более высоких ценах </t>
  </si>
  <si>
    <t xml:space="preserve">Не доверяю тому, как будут использоваться дополнительные доходы </t>
  </si>
  <si>
    <t xml:space="preserve">Нет компенсационных мер </t>
  </si>
  <si>
    <t xml:space="preserve">Инфляциянын өсүшүнө алып келет </t>
  </si>
  <si>
    <t xml:space="preserve">Аз камсыз болгон үй-бүлөлөргө зыян келтирет </t>
  </si>
  <si>
    <t xml:space="preserve">Көмүрдөн баш тарткан үй чарбаларына зыян келтирет </t>
  </si>
  <si>
    <t xml:space="preserve">Үйүмдү жылытуу үчүн көмүргө өтүүгө туура келет </t>
  </si>
  <si>
    <t xml:space="preserve">Электр энергиясы негизги муктаждык товары болуп саналат жана жеткиликтүү бойдон калышы керек </t>
  </si>
  <si>
    <t xml:space="preserve">Кызмат көрсөтүүнүн сапаты жогору баага карабастан жакшырбайт </t>
  </si>
  <si>
    <t xml:space="preserve">Кошумча киреше кандайча колдонуларына ишенбейм </t>
  </si>
  <si>
    <t xml:space="preserve">Компенсация чаралары жок </t>
  </si>
  <si>
    <t xml:space="preserve">Provide cash transfers to ALL households equal to 200 soms per month </t>
  </si>
  <si>
    <t xml:space="preserve">Provide cash transfers to low-income households equal to 600 soms per month </t>
  </si>
  <si>
    <t xml:space="preserve">Предоставлять денежные выплаты ВСЕМ домохозяйствам в размере 200 сомов в месяц </t>
  </si>
  <si>
    <t xml:space="preserve">Предоставлять денежные выплаты малообеспеченным домохозяйствам в размере 600 сомов в месяц </t>
  </si>
  <si>
    <t xml:space="preserve">БАРДЫК үй чарбаларына айына 200 сом өлчөмүндө акчалай жардам берүү </t>
  </si>
  <si>
    <t xml:space="preserve">Аз камсыз болгон үй чарбаларына айына 600 сом өлчөмүндө акчалай жардам берүү </t>
  </si>
  <si>
    <t xml:space="preserve">Provide cash transfers to low- and middle-income households equal to 300 soms per month </t>
  </si>
  <si>
    <t xml:space="preserve">Предоставлять денежные выплаты малообеспеченным и среднему классу домохозяйств в размере 300 сомов в месяц </t>
  </si>
  <si>
    <t xml:space="preserve">Аз камсыз болгон жана орто кирешелүү үй чарбаларына айына 300 сом өлчөмүндө акчалай жардам берүү </t>
  </si>
  <si>
    <t xml:space="preserve">1.38 KGS </t>
  </si>
  <si>
    <t xml:space="preserve">1.66 KGS </t>
  </si>
  <si>
    <t xml:space="preserve">2.21 KGS </t>
  </si>
  <si>
    <t xml:space="preserve">2.77 KGS </t>
  </si>
  <si>
    <t>1,38 сома</t>
  </si>
  <si>
    <t>1,66 сома</t>
  </si>
  <si>
    <t>2,21 сома</t>
  </si>
  <si>
    <t xml:space="preserve">2,77 сома </t>
  </si>
  <si>
    <t>TR3</t>
  </si>
  <si>
    <t>TR4</t>
  </si>
  <si>
    <t>TR5</t>
  </si>
  <si>
    <t>TR9</t>
  </si>
  <si>
    <t>TR12</t>
  </si>
  <si>
    <t>TR15</t>
  </si>
  <si>
    <t>XP13</t>
  </si>
  <si>
    <t>XP14a</t>
  </si>
  <si>
    <t>XP14b</t>
  </si>
  <si>
    <t>XP15A</t>
  </si>
  <si>
    <t>XP16</t>
  </si>
  <si>
    <t>XP18A</t>
  </si>
  <si>
    <t>XP18B</t>
  </si>
  <si>
    <t>XP18C</t>
  </si>
  <si>
    <t>TR8</t>
  </si>
  <si>
    <t>TR10</t>
  </si>
  <si>
    <t>TR13</t>
  </si>
  <si>
    <t>TR16</t>
  </si>
  <si>
    <t>TR17</t>
  </si>
  <si>
    <t>TR18</t>
  </si>
  <si>
    <t>WB6B</t>
  </si>
  <si>
    <t>${xp13_question}=1 or ${xp13_question}=2</t>
  </si>
  <si>
    <t>${xp13_question}=3 or ${xp13_question}=4</t>
  </si>
  <si>
    <t>select_multiple XP14b</t>
  </si>
  <si>
    <t>select_multiple XP14a</t>
  </si>
  <si>
    <t>selected(${wb6b},'96')</t>
  </si>
  <si>
    <t>Do you use any other source of heating in your home?</t>
  </si>
  <si>
    <t>Вы используете какой-либо другой источник отопления в вашем доме?</t>
  </si>
  <si>
    <t>Сиздин үйүңүздө башка жылытуу булагы колдонулабы?</t>
  </si>
  <si>
    <t>sh24</t>
  </si>
  <si>
    <t>sh24a</t>
  </si>
  <si>
    <t xml:space="preserve">What are these other sources of heating? </t>
  </si>
  <si>
    <t>Какие это дополнительные источники отопления?</t>
  </si>
  <si>
    <t xml:space="preserve">Бул жылытуунун кошумча булактары кайсылар? </t>
  </si>
  <si>
    <t>selected(${sh24a},'96')</t>
  </si>
  <si>
    <t>To what extent do you trust each of the following groups to provide you with information about government services and policies?</t>
  </si>
  <si>
    <t>В какой степени вы доверяете каждой из следующих групп в предоставлении информации о государственных услугах и политике?</t>
  </si>
  <si>
    <t>Сиз төмөнкү топтордун ар бирине мамлекеттик кызматтар жана саясаттар жөнүндө маалымат берүүсүн канчалык деңгээлде ишенимдүү деп эсептейсиз?</t>
  </si>
  <si>
    <t>Central Government (Cabinet of Ministries)</t>
  </si>
  <si>
    <t>Local government (mayor, local self-government)</t>
  </si>
  <si>
    <t>Academic institutions</t>
  </si>
  <si>
    <t>Social workers</t>
  </si>
  <si>
    <t>Traditional media (News channels, radio)</t>
  </si>
  <si>
    <t>Social Media (Facebook, Instagram)</t>
  </si>
  <si>
    <t>WhatsApp Groups / Telegram</t>
  </si>
  <si>
    <t>Центральное правительство (Кабинет министров)</t>
  </si>
  <si>
    <t>Местное самоуправление (мэр, органы местного самоуправления)</t>
  </si>
  <si>
    <t>Академические учреждения</t>
  </si>
  <si>
    <t>Социальные работники</t>
  </si>
  <si>
    <t>Традиционные СМИ (новостные каналы, радио)</t>
  </si>
  <si>
    <t>Cоциальные сети (Facebook, Instagram)</t>
  </si>
  <si>
    <t>Группы в WhatsApp / Telegram</t>
  </si>
  <si>
    <t>Борбордук өкмөт (Министрлер кабинети)</t>
  </si>
  <si>
    <t>Жергиликтүү бийлик (мэр, жергиликтүү өз алдынча башкаруу)</t>
  </si>
  <si>
    <t>Академиялык мекемелер</t>
  </si>
  <si>
    <t>Социалдык кызматкерлер</t>
  </si>
  <si>
    <t>Салттуу ЖМК (Жаңылык каналдары, радио)</t>
  </si>
  <si>
    <t>Социалдык тармактар (Facebook, Instagram)</t>
  </si>
  <si>
    <t>WhatsApp топтору / Telegram</t>
  </si>
  <si>
    <t>vw65_note</t>
  </si>
  <si>
    <t>select_one VW65</t>
  </si>
  <si>
    <t>vw65a</t>
  </si>
  <si>
    <t>vw65b</t>
  </si>
  <si>
    <t>vw65c</t>
  </si>
  <si>
    <t>vw65d</t>
  </si>
  <si>
    <t>vw65e</t>
  </si>
  <si>
    <t>vw65f</t>
  </si>
  <si>
    <t>vw65g</t>
  </si>
  <si>
    <t>VW65</t>
  </si>
  <si>
    <t>Cannot be trusted at all</t>
  </si>
  <si>
    <t>Often cannot be trusted</t>
  </si>
  <si>
    <t xml:space="preserve">Often can be trusted </t>
  </si>
  <si>
    <t xml:space="preserve">Can be trusted a lot </t>
  </si>
  <si>
    <t>Not familiar with the institution</t>
  </si>
  <si>
    <t xml:space="preserve">Полностью не заслуживает доверия </t>
  </si>
  <si>
    <t xml:space="preserve">Частично не заслуживает доверия </t>
  </si>
  <si>
    <t xml:space="preserve">В большинстве случаев заслуживает доверия </t>
  </si>
  <si>
    <t>Полностью заслуживает доверия</t>
  </si>
  <si>
    <t xml:space="preserve">Не знаком(а) с учреждением </t>
  </si>
  <si>
    <t xml:space="preserve">Такыр ишенүүгө болбойт </t>
  </si>
  <si>
    <t xml:space="preserve">Көп учурда ишенүүгө болбойт </t>
  </si>
  <si>
    <t xml:space="preserve">Көп учурда ишенүүгө болот </t>
  </si>
  <si>
    <t>Толук ишенүүгө болот</t>
  </si>
  <si>
    <t xml:space="preserve">Бул мекеме менен тааныш эмесмин </t>
  </si>
  <si>
    <t>${tr9}=2</t>
  </si>
  <si>
    <t>select_multiple WB6A</t>
  </si>
  <si>
    <t>selected(${wb6a},'96')</t>
  </si>
  <si>
    <t>xp18a_question1</t>
  </si>
  <si>
    <t>xp18b_question2</t>
  </si>
  <si>
    <t>xp18b_question1</t>
  </si>
  <si>
    <t>xp18c_question1</t>
  </si>
  <si>
    <t>xp18c_question2</t>
  </si>
  <si>
    <t>xp18a_question2</t>
  </si>
  <si>
    <t>xp18a_question3</t>
  </si>
  <si>
    <t>xp18c_question3</t>
  </si>
  <si>
    <t>xp18b_question3</t>
  </si>
  <si>
    <t>xp18c_question4</t>
  </si>
  <si>
    <t>xp18a_question4</t>
  </si>
  <si>
    <t>xp18b_question4</t>
  </si>
  <si>
    <t>${rndxp18}=4</t>
  </si>
  <si>
    <t>xp18c_question5</t>
  </si>
  <si>
    <t>xp18b_question5</t>
  </si>
  <si>
    <t>xp18a_question5</t>
  </si>
  <si>
    <t>${rndxp18}=6</t>
  </si>
  <si>
    <t>${rndxp18}=5</t>
  </si>
  <si>
    <t>xp18c_question6</t>
  </si>
  <si>
    <t>xp18a_question6</t>
  </si>
  <si>
    <t>xp18b_question6</t>
  </si>
  <si>
    <t>xp_15note</t>
  </si>
  <si>
    <t>«Кыргыз өкмөтүнүнмаалыматы боюнча, жеңилдетилген электрэнергиясынын орточо республикалык баасы айына 700 кВт сааткачейин керектөө үчүнбир киловатт-сааты (кВт/саат)1,108 сомду түзөт.»</t>
  </si>
  <si>
    <t>According to the government of Kyrgyzstan, the average national price of subsidized electricity is 1.108 KGS per kilowatt-hour (kWh) for consumption up to 700 kWh per month.</t>
  </si>
  <si>
    <t>По данным правительства Кыргызстана, средняя цена субсидируемой электроэнергии составляет 1,108 сома за киловатт-час (кВт·ч) при потреблении до 700 кВт·ч в месяц.</t>
  </si>
  <si>
    <t>${sh24}=1</t>
  </si>
  <si>
    <t xml:space="preserve">Эмне үчүн сиз электр энергиясынын баасынын көтөрүлүшүнө каршысыз? </t>
  </si>
  <si>
    <t>Now assume, the government of Kyrgyzstan were to IMMEDIATELY reduce subsidies such that your electricity price increased to **${rndxp15lbl}** KGS per kWh, would you support or oppose this reform?</t>
  </si>
  <si>
    <t>Теперь предположим, что правительство Кыргызстана НЕМЕДЛЕННО сократит субсидии таким образом, что цена за электроэнергию увеличится до **${rndxp15lbl}** сомов за 1 кВт. Вы поддержите или выступите против этой реформы?</t>
  </si>
  <si>
    <t>Эми Кыргызстандын өкмөтү ДАРОО субсидияларды кыскартты дейли, 1 кВт электр энергиясына болгон баа **${rndxp15lbl}**  сомго чейин көбөйсө, сиз бул реформаны колдойсузбу же каршы чыгасызбы?</t>
  </si>
  <si>
    <t>If the government of Kyrgyzstan were to GRADUALLY reduce subsidies such that your electricity price increased to **${rndxp15lbl}** KGS per kWh BY THE END OF 2026, would you support or oppose this reform?</t>
  </si>
  <si>
    <t>Если бы правительство Кыргызстана ПОСТЕПЕННО сократило субсидии таким образом, что цена за электроэнергию увеличился бы до **${rndxp15lbl}**  сомов за 1 кВт К КОНЦУ 2026 ГОДА, поддержали бы вы эту реформу или выступили бы против?</t>
  </si>
  <si>
    <t>Эгерде Кыргызстандын өкмөтү 2026-ЖЫЛДЫН аягына чейин субсидияларды АКЫРЫНДЫК менен кыскарта турган болсо, 1 кВт электр энергиясына болгон баа **${rndxp15lbl}** сомго чейин көбөйсө, сиз бул реформаны колдойсузбу же каршы чыгасызбы?</t>
  </si>
  <si>
    <t>If the government of Kyrgyzstan were to GRADUALLY reduce subsidies such that your electricity price increased to **${rndxp15lbl}** KGS per kWh OVER THE PERIOD OF 3 YEARS, would you support or oppose this reform?</t>
  </si>
  <si>
    <t>Если бы правительство Кыргызстана ПОСТЕПЕННО сократило субсидии таким образом, что цена за электроэнергию увеличился бы до **${rndxp15lbl}**  сомов за 1 кВт В ТЕЧЕНИЕ 3 ЛЕТ, поддержали бы вы эту реформу или выступили бы против?</t>
  </si>
  <si>
    <t>Эгерде Кыргызстандын өкмөтү субсидияларды АКЫРЫНДЫК менен азайтып, 1 кВт электр энергиясына болгон төлөмүңүздү 3 ЖЫЛДЫН ИЧИНДЕ **${rndxp15lbl}** сомго чейин көбөйтсө, сиз бул реформаны колдойсузбу же каршы чыгасызбы?</t>
  </si>
  <si>
    <t>if(${rndtrtvalue}&lt;=0.34,1, if(${rndtrtvalue}&gt;0.34 and ${rndtrtvalue}&lt;=0.67, 2,3))</t>
  </si>
  <si>
    <t>if(${rndx18value}&lt;=0.16,1, if(${rndx18value}&gt;0.16 and ${rndx18value}&lt;0.33, 2,if(${rndx18value}&gt;=0.33 and ${rndx18value}&lt;0.5, 3,if(${rndx18value}&gt;=0.5 and ${rndx18value}&lt;0.67, 4,if(${rndx18value}&gt;=0.67 and ${rndx18value}&lt;0.84, 5,6)))))</t>
  </si>
  <si>
    <t>What is the top factor that affects your willingness to pay more for electricity and district heating?</t>
  </si>
  <si>
    <t>READ OPTIONS and SELECT ONE</t>
  </si>
  <si>
    <t>Какой фактор в первую очередь влияет на вашу готовность платить больше за электричество и централизованное теплоснабжение?</t>
  </si>
  <si>
    <t>ПРОЧТИТЕ ВАРИАНТЫ и ВЫБЕРИТЕ ОДИН</t>
  </si>
  <si>
    <t>Сиздин электр энергиясы жана жылуулук үчүн көбүрөөк төлөөгө даяр болушуңузга кандай негизги фактор таасир этет?</t>
  </si>
  <si>
    <t>ВАРИАНТТАРДЫ ОКУҢУЗ жана БИРӨӨНҮ гана ТАНДАҢЫЗ</t>
  </si>
  <si>
    <t>tr19</t>
  </si>
  <si>
    <t>select_one TR19</t>
  </si>
  <si>
    <t>Have you taken steps towards conserving energy to lower energy bills during this heating season?</t>
  </si>
  <si>
    <t>Предпринимали ли вы какие-либо меры по экономии энергии, чтобы снизить счета в этом отопительном сезоне?</t>
  </si>
  <si>
    <t>Бул жылытуу сезондо төлөмдөрдү азайтуу үчүн энергияны үнөмдөө боюнча кандайдыр бир чараларды көрдүңүзбү?</t>
  </si>
  <si>
    <t>tr20</t>
  </si>
  <si>
    <t>How much do you agree with the following statement: I am satified with my electricity/DH provider?</t>
  </si>
  <si>
    <t>Насколько вы согласны со следующим утверждением: Я доволен(а) своим поставщиком электроэнергии/централизованного отопления?</t>
  </si>
  <si>
    <t>tr21</t>
  </si>
  <si>
    <t>In your opinion, what is the most important issue the energy sector is facing in Kyrgystan?</t>
  </si>
  <si>
    <t>DO NOT READ OPTIONS AND SELECT ONE
[READ options if NECESSARY]</t>
  </si>
  <si>
    <t>По вашему мнению, какая самая важная проблема стоит перед энергетическим сектором в Кыргызстане?</t>
  </si>
  <si>
    <t>НЕ ЗАЧИТЫВАЙТЕ ВАРИАНТЫ И ВЫБЕРИТЕ ОДИН
[ПРИ НЕОБХОДИМОСТИ ЗАЧИТАЙТЕ ВАРИАНТЫ]</t>
  </si>
  <si>
    <t>Сиздин оюңузча, Кыргызстандын энергетика тармагындагы эң негизги көйгөй кайсы?</t>
  </si>
  <si>
    <t>ВАРИАНТТАРДЫ ОКУБАҢЫЗ, БИР ЖООПТУ ТАНДАҢЫЗ
[КЕРЕК БОЛГОНДО гана ВАРИАНТТАРДЫ ОКУП БЕРИҢИЗ]</t>
  </si>
  <si>
    <t>tr22</t>
  </si>
  <si>
    <t>select_one TR22</t>
  </si>
  <si>
    <t>700 kWh lifeline electricity consumption threshold with subsidized (low) tariff covers around 80% of households in Kyrgyzstan, mainly benefiting higher-income households. How much do you agree if the government reduces this 700 kWh consumption threshold to 400 kWh to ensure the subsidies are better targeted for vulnerable households?</t>
  </si>
  <si>
    <t>Льготный порог потребления электроэнергии в 700 кВт/ч с субсидированным (пониженным) тарифом охватывает около 80% домохозяйств в Кыргызстане, при этом основными получателями выгоды от данного льготного тарифа являются домохозяйства с высоким доходом.  
Насколько вы согласны с тем, чтобы правительство снизило этот порог потребления с 700 кВт/ч до 400 кВт/ч, чтобы субсидии были более точно нацелены на уязвимые домохозяйства?</t>
  </si>
  <si>
    <t>700 кВт/саатка чейин субсидияланган (төмөн) тариф менен Кыргызстандагы үй чарбаларынын 80%га жакынын камтыйт, бул негизинен кирешеси жогору үй чарбаларына пайда алып келет. 
Сиз өкмөттүн бул керектөө босогосун 700 кВт/сааттан 400 кВт/саатка чейин төмөндөтүп, субсидиялар аз кирешелүү үй чарбаларга тагыраак багытталышы үчүн канчалык макулсуз?</t>
  </si>
  <si>
    <t>tr23</t>
  </si>
  <si>
    <t>tr24</t>
  </si>
  <si>
    <t>How much do you agree with the following statement: “Air pollution is a serious health concern for me and my family”?</t>
  </si>
  <si>
    <t>Насколько вы согласны со следующим утверждением:  
«Загрязнение воздуха представляет серьезную угрозу для моего здоровья и здоровья моей семьи»?</t>
  </si>
  <si>
    <t>Сиз төмөнкү билдирүүгө канчалык деңгээлде макулсуз: «Абанын булганышы менин жана үй-бүлөмдүн ден соолугуна олуттуу коркунуч туудурат»?</t>
  </si>
  <si>
    <t>TR19</t>
  </si>
  <si>
    <t>Supply is more reliable</t>
  </si>
  <si>
    <t>Customer service is improved</t>
  </si>
  <si>
    <t>Better control of corruption and theft in my area</t>
  </si>
  <si>
    <t>Social assistance for poor households</t>
  </si>
  <si>
    <t>Easier to understand billing statements</t>
  </si>
  <si>
    <t>Adequate communication and explanation about the increase</t>
  </si>
  <si>
    <t>Others</t>
  </si>
  <si>
    <t>Поставки стали более надежными</t>
  </si>
  <si>
    <t xml:space="preserve">Улучшилось обслуживание клиентов </t>
  </si>
  <si>
    <t xml:space="preserve">Улучшился контроль над коррупцией и воровством в моем районе </t>
  </si>
  <si>
    <t xml:space="preserve">Социальная помощь бедным семьям </t>
  </si>
  <si>
    <t xml:space="preserve">Более понятные расчеты по счетам  </t>
  </si>
  <si>
    <t xml:space="preserve">Адекватное информирование и объяснение причин повышения тарифов </t>
  </si>
  <si>
    <t xml:space="preserve">Камсыздоо кыйла ишенимдүү болуп калды </t>
  </si>
  <si>
    <t xml:space="preserve">Кардарларды тейлөө жакшыртылды </t>
  </si>
  <si>
    <t xml:space="preserve">Менин аймагымдагы коррупция жана уурулук менен күрөшүү жакшыртылды </t>
  </si>
  <si>
    <t xml:space="preserve">Жакыр жашаган үй-бүлөлөргө социалдык жардам </t>
  </si>
  <si>
    <t xml:space="preserve">Эсепттердеги билдирүүлөрдү түшүнүү оңой </t>
  </si>
  <si>
    <t xml:space="preserve">Тарифттерди жогорулатуу жөнүндө адекваттуу байланыш жана түшүндүрүү </t>
  </si>
  <si>
    <t xml:space="preserve">Lack of uniterupted electricity and district heating supply </t>
  </si>
  <si>
    <t xml:space="preserve">Tariffs for electricity and district heating not reflecting the cost of supply </t>
  </si>
  <si>
    <t xml:space="preserve">Energy security and electricity deficit the country is facing </t>
  </si>
  <si>
    <t xml:space="preserve">Limitted investments in the electricity and distrcit heating sectors </t>
  </si>
  <si>
    <t xml:space="preserve">Lack of transparency in regulation and tariff setting for the electricity and district heating sectors </t>
  </si>
  <si>
    <t xml:space="preserve">Отсутствие бесперебойного снабжения электроэнергией и централизованным отоплением </t>
  </si>
  <si>
    <t xml:space="preserve">Тарифы на электроэнергию и отопление не отражают реальную себестоимость поставки </t>
  </si>
  <si>
    <t xml:space="preserve">Энергетическая безопасность и дефицит электроэнергии в стране </t>
  </si>
  <si>
    <t xml:space="preserve">Ограниченные инвестиции в электроэнергетику и центральное отопление </t>
  </si>
  <si>
    <t xml:space="preserve">Недостаточная прозрачность в регулировании и установлении тарифов в сфере электроэнергии и отопления </t>
  </si>
  <si>
    <t xml:space="preserve">Үзгүлтүксүз электр жана жылуулук менен камсыздоонун жоктугу </t>
  </si>
  <si>
    <t xml:space="preserve">Электр энергиясына жана жылуулукка тарифтер жеткирүүнүн реалдуу наркын чагылдырбайт </t>
  </si>
  <si>
    <t xml:space="preserve">Өлкөдөгү энергетикалык коопсуздук жана электр энергиясынын тартыштыгы </t>
  </si>
  <si>
    <t>Электр энергиясы жана жылуулук менен камсыздоо тармагына инвестициялар чектелген</t>
  </si>
  <si>
    <t xml:space="preserve">Электр жана жылуулук менен камсыздоо тармактарында тарифтерди жөнгө салууда жана түзүүдө ачык-айкындуулуктун жоктугу </t>
  </si>
  <si>
    <t>TR22</t>
  </si>
  <si>
    <t>Информация A:
Доходы от повышения тарифов будут направлены на энергетическую инфраструктуру: создание большего количества электростанций и замену устаревшего оборудования, что позволит улучшить энергоснабжение и качество, а также снизить зависимость от импорта энергии.</t>
  </si>
  <si>
    <t>Информация B:
При низких тарифах и недостаточных доходах, инвестиции в улучшение энергетических услуг запаздывают, а качество страдает.</t>
  </si>
  <si>
    <t>Treatment A: 
Proceeds from increased tariffs will be used for energy infrastructure: create more power station and replace outdated equipment, thereby improving energy supply &amp; quality and reducing reliance on energy imports.</t>
  </si>
  <si>
    <t>Treatment B: 
With low tariff and insufficient revenue, investments to improve energy service is lagging and quality is suffering.</t>
  </si>
  <si>
    <t>Билдирме А:
Тарифтердин жогорулашынан түшкөн каражаттар энергетикалык инфраструктурага жумшалат: көбүрөөк электр станцияларын курууга жана эскирген жабдууларды алмаштырууга, бул энергия менен камсыздоону жана сапатын жакшыртат жана энергиянын импортунан көз карандылыкты азайтат.</t>
  </si>
  <si>
    <t>Билдирме В:
Тарифтин төмөндүгүнөн жана кирешелердин жетишсиздигинен энергетикалык кызмат көрсөтүүлөрдү жакшыртууга инвестициялар артта калып, сапат начарлоодо.</t>
  </si>
  <si>
    <t>Сиз төмөнкү билдирүүгө канчалык деңгээлде макулсуз: Мен электр энергиясы/борбордук жылытуу менен камсыздоочу менен ыраазымын?</t>
  </si>
  <si>
    <t>xp_end</t>
  </si>
  <si>
    <t>time_exp</t>
  </si>
  <si>
    <t>if(${xp_end}='' , '', once(now()))</t>
  </si>
  <si>
    <t>This is the end of EXPERIMENT</t>
  </si>
  <si>
    <t>Конец секции ЭКСПЕРИМЕНТ</t>
  </si>
  <si>
    <t>wat_</t>
  </si>
  <si>
    <t>WATER TARIFFS</t>
  </si>
  <si>
    <t>ТАРИФЫ НА ПИТЬЕВУЮ ВОДУ</t>
  </si>
  <si>
    <t xml:space="preserve">ИЧҮҮЧҮ СУУ ТАРИФТЕРИ  </t>
  </si>
  <si>
    <t>Overall, how would you consider the levels of water tariffs currently in May 2025?</t>
  </si>
  <si>
    <t>В целом, как бы вы оценили уровень тарифов на питьевую воду в мае 2025 года?</t>
  </si>
  <si>
    <t>Жалпысынан, 2025-жылдын май айындагы ичүүчү сууга болгон тарифтердин деңгээлин кандай деп эсептейсиз?</t>
  </si>
  <si>
    <t>wat1</t>
  </si>
  <si>
    <t>wat2</t>
  </si>
  <si>
    <t>Is your household able to pay the monthly water bills out of incomes your household currently received, without any additional support and actions?</t>
  </si>
  <si>
    <t>Может ли ваше домохозяйство оплачивать ежемесячные счета за питьевую воду без дополнительной помощи или доходов?</t>
  </si>
  <si>
    <t>Үй-чарбаңыз кошумча жардамсыз же кирешесиз ай сайын ичүүчү сууга болгон төлөмдөрдү төлөй алабы?</t>
  </si>
  <si>
    <t>wat3</t>
  </si>
  <si>
    <t>If No, what support or actions did your household consider taking to pay the water bills?</t>
  </si>
  <si>
    <t>wat2_1</t>
  </si>
  <si>
    <t xml:space="preserve">Эгерде жок болсо, сууга төлөө үчүн үй чарбаңыз кандай чараларды көрдү? </t>
  </si>
  <si>
    <t>In your view, which of the following groups of people will be most affected if water tariffs were increased?</t>
  </si>
  <si>
    <t>На ваш взгляд, какие группы населения пострадают больше всего, если тарифы на питьевую воду повысятся?</t>
  </si>
  <si>
    <t>Сиздин оюңузча, эгерде ичүүчү суу тарифтери жогоруласа, кайсы калк катмары эң көп жабыркайт?</t>
  </si>
  <si>
    <t>wat4</t>
  </si>
  <si>
    <t>In your opinion, what are the biggest challenges facing the water sector in Kyrgyzstan?</t>
  </si>
  <si>
    <t xml:space="preserve">Каковы, по вашему мнению, основные проблемы водного сектора Кыргызстана? </t>
  </si>
  <si>
    <t>Если нет, какие меры ваше домохозяйство предприняло для оплаты оплаты счетов за воду?</t>
  </si>
  <si>
    <t xml:space="preserve">Сиздин оюңузча, Кыргызстандагы суу секторундагы эң чоң көйгөйлөр кайсылар? </t>
  </si>
  <si>
    <t>wat5</t>
  </si>
  <si>
    <t>I believe that water tariffs should be increased to improve service quality.</t>
  </si>
  <si>
    <t>Я считаю, что тарифы на питьевую воду должны быть повышены для улучшения качества услуг.</t>
  </si>
  <si>
    <t>Кызмат көрсөтүүнүн сапатын жакшыртуу үчүн ичүүчү суу болгон тарифтер жогорулашы керек деп ойлойм.</t>
  </si>
  <si>
    <t>wat6</t>
  </si>
  <si>
    <t>What is the main source of water supply in your area?</t>
  </si>
  <si>
    <t>Какой основной источник питьевого водоснабжения в вашем районе?</t>
  </si>
  <si>
    <t>Сиз жашаган аймактагы негизги ичүүчү суу булагы кайсы?</t>
  </si>
  <si>
    <t>wat7</t>
  </si>
  <si>
    <t>I am satisfied with the water supply in my area.</t>
  </si>
  <si>
    <t>Я удовлетворен(а) питьевым водоснабжением в моем районе.</t>
  </si>
  <si>
    <t>Мен жашаган аймакта ичүүчү суу менен камсыздоо мени канааттандырат.</t>
  </si>
  <si>
    <t>Would you be willing to pay more for water if the service quality and/or the water quality were improved?</t>
  </si>
  <si>
    <t>Если бы качество водоснабжения и/или качество воды улучшилось, вы были бы готовы платить больше за воду?</t>
  </si>
  <si>
    <t>Эгерде суу менен камсыздоо жана/же суунун сапаты жакшырса, сиз көбүрөөк акы төлөөгө даярсызбы?</t>
  </si>
  <si>
    <t>wat8</t>
  </si>
  <si>
    <t>wat9</t>
  </si>
  <si>
    <t xml:space="preserve">How much more would you be willing to pay for water services? </t>
  </si>
  <si>
    <t>Если да, на сколько больше вы готовы платить за водоснабжение?</t>
  </si>
  <si>
    <t>Эгерде сиз даяр болсоңуз, ичүүчү суу үчүн канча сомго көбүрөөк төлөөгө макулсуз?</t>
  </si>
  <si>
    <t>soms</t>
  </si>
  <si>
    <t>СОМ</t>
  </si>
  <si>
    <t>wat10</t>
  </si>
  <si>
    <t>How much do you currently pay for water in a month?</t>
  </si>
  <si>
    <t>Сколько вы в настоящее время платите за питьевую воду в месяц?</t>
  </si>
  <si>
    <t>Сиз айына ичүүчү суу үчүн канча төлөйсүз?</t>
  </si>
  <si>
    <t>wat11</t>
  </si>
  <si>
    <t>Do you have a contact point person for complaints and grievances about water services?</t>
  </si>
  <si>
    <t>У вас есть контактное лицо для подачи жалоб или претензий по поводу питьевого водоснабжения?</t>
  </si>
  <si>
    <t>Сизде ичүүчү суу кызматтары боюнча даттануулар же нааразычылыктар үчүн кайрыла турган жооптуу байланыш адам барбы?</t>
  </si>
  <si>
    <t>wat11_1</t>
  </si>
  <si>
    <t>Who would you go to for complaints/grievances about water supply?</t>
  </si>
  <si>
    <t>К кому бы вы обратились с жалобой на водоснабжение?</t>
  </si>
  <si>
    <t>Кимге кайрылмаксыз даттануу же нааразычылык билдирүү үчүн?</t>
  </si>
  <si>
    <t>rndtrtvalue2</t>
  </si>
  <si>
    <t>rndtreatment2</t>
  </si>
  <si>
    <t>${rndtreatment2}=2</t>
  </si>
  <si>
    <t>${rndtreatment2}=3</t>
  </si>
  <si>
    <t>wat_tra</t>
  </si>
  <si>
    <t>wat_trb</t>
  </si>
  <si>
    <t xml:space="preserve">Treatment A: 
Proceeds from increased tariffs will be used for water infrastructure: create more water pipelines and replace outdated equipment, thereby improving water supply &amp; quality </t>
  </si>
  <si>
    <t>Treatment B: 
With low tariff and insufficient revenue, investments to improve water service is lagging and quality is suffering</t>
  </si>
  <si>
    <t>(2) Информация A:
Поступления от повышения тарифов будут использованы для водной инфраструктуры: строительство новых водопроводов и замена устаревшего оборудования, что приведет к улучшению качества и надежности питьевого водоснабжения.</t>
  </si>
  <si>
    <t>(3) Информация B:
Из-за низких тарифов и недостатка доходов инвестиции в улучшение водоснабжения отстают, и качество водоснабжения страдает.</t>
  </si>
  <si>
    <t>Билдирүү A:
Тарифтерди жогорулатуу аркылуу түшкөн каражаттар суу инфраструктурасына жумшалат: жаңы суу түтүктөрү курулат жана эскирген жабдуулар жаңыланат, бул ичүүчү суу менен камсыздоонун сапатын жана ишенимдүүлүгүн жакшыртат.</t>
  </si>
  <si>
    <t>Билдирүү B:
Төмөн тарифтер жана кирешенин жетишсиздиги ичүүчү суу менен камсыздоону жакшыртууга инвестициялардын кечигишине алып келет жана кызмат көрсөтүүнүн сапаты начарлайт.</t>
  </si>
  <si>
    <t>rndwat12options</t>
  </si>
  <si>
    <t>rndwat12lbl</t>
  </si>
  <si>
    <t>select_one WAT12OPTIONS</t>
  </si>
  <si>
    <t>wat13</t>
  </si>
  <si>
    <t>wat14</t>
  </si>
  <si>
    <t xml:space="preserve">What are the reasons you would support an increase in water prices? </t>
  </si>
  <si>
    <t xml:space="preserve">Почему вы бы поддержали повышение тарифов на питьевую воду? </t>
  </si>
  <si>
    <t>ПРОЧИТАЙТЕ ВСЕ ВАРИАНТЫ, ВЫБЕРИТЕ ВСЕ ПОДХОДЯЩИЕ</t>
  </si>
  <si>
    <t xml:space="preserve">Сиз эмне себептен ичүүчү суу тарифтерин  көтөрүүнү колдойсуз? </t>
  </si>
  <si>
    <t>БАРДЫК ВАРИАНТТАРДЫ ОКУП БЕРИҢИЗ, ТИЕШЕЛҮҮ БАРДЫГЫН ТАНДАҢЫЗ</t>
  </si>
  <si>
    <t>wat15</t>
  </si>
  <si>
    <t>What are the reasons you would oppose an increase in water prices?</t>
  </si>
  <si>
    <t>Почему вы против повышения тарифов на питьевую воду?</t>
  </si>
  <si>
    <t>Сиз эмне себептен ичүүчү суу тарифтерин көтөрүүгө каршысыз?</t>
  </si>
  <si>
    <t>wat16</t>
  </si>
  <si>
    <t>To what extent do you agree that local government will improve water service through tariff increase?</t>
  </si>
  <si>
    <t>Насколько вы согласны с тем, что местные власти улучшат питьевое водоснабжение за счет повышения тарифов?</t>
  </si>
  <si>
    <t>Сиздин оюңузча, жергиликтүү бийлик тарифтерди көтөрүү аркылуу ичүүчү суу менен камсыздоону жакшыртат дегенге макулсузбу?</t>
  </si>
  <si>
    <t>Low-income households</t>
  </si>
  <si>
    <t>Middle income households</t>
  </si>
  <si>
    <t>High income households</t>
  </si>
  <si>
    <t>All will be equally affected</t>
  </si>
  <si>
    <t>Water pollution and quality</t>
  </si>
  <si>
    <t>Inefficiencies in water Management and distribution</t>
  </si>
  <si>
    <t xml:space="preserve">Water shortages or unreliable supply </t>
  </si>
  <si>
    <t>Rising water demand outpacing supply</t>
  </si>
  <si>
    <t>Устаревшая инфраструктура и необходимость модернизации</t>
  </si>
  <si>
    <t>Загрязнение и качество воды</t>
  </si>
  <si>
    <t>Неэффективное управление и распределение воды</t>
  </si>
  <si>
    <t>Недостаток или ненадежность поставок …</t>
  </si>
  <si>
    <t>Растущий спрос на водный ресурс опережает предложение</t>
  </si>
  <si>
    <t>Недостаточный доступ для некоторых домохозяйств</t>
  </si>
  <si>
    <t>Суунун булганышы жана сапаты..</t>
  </si>
  <si>
    <t>Сууну башкаруудагы жана жеткирүүдөгү натыйжасыздык</t>
  </si>
  <si>
    <t>Суунун жетишсиздиги же ишенимсиз камсыздоо</t>
  </si>
  <si>
    <t xml:space="preserve">Суу ресурсунун сунушунун, өсүп жаткан суроо-талаптан артта калуусу </t>
  </si>
  <si>
    <t>Piped water</t>
  </si>
  <si>
    <t>Irrigation channel</t>
  </si>
  <si>
    <t>Individual wells/ borehole</t>
  </si>
  <si>
    <t>Tanker trucks</t>
  </si>
  <si>
    <t xml:space="preserve">Water spring </t>
  </si>
  <si>
    <t xml:space="preserve">Rivers </t>
  </si>
  <si>
    <t xml:space="preserve">Ditches </t>
  </si>
  <si>
    <t xml:space="preserve">Others </t>
  </si>
  <si>
    <t>Централизованное водоснабжение</t>
  </si>
  <si>
    <t>Ирригационный канал</t>
  </si>
  <si>
    <t>Индивидуальные колодцы/скважины</t>
  </si>
  <si>
    <t>Водовозы</t>
  </si>
  <si>
    <t xml:space="preserve">Родник </t>
  </si>
  <si>
    <t xml:space="preserve">Реки </t>
  </si>
  <si>
    <t xml:space="preserve">Общественный кран/колонка </t>
  </si>
  <si>
    <t xml:space="preserve">Канавы </t>
  </si>
  <si>
    <t>Борбордук суу</t>
  </si>
  <si>
    <t>Сугат канал</t>
  </si>
  <si>
    <t>Жеке кудук/скважина</t>
  </si>
  <si>
    <t>Сууну ташыган автоцистерна</t>
  </si>
  <si>
    <t xml:space="preserve">Булак </t>
  </si>
  <si>
    <t xml:space="preserve">Дарыя </t>
  </si>
  <si>
    <t xml:space="preserve">Коомдук колонка/суу түтүгү </t>
  </si>
  <si>
    <t xml:space="preserve">Арыктар </t>
  </si>
  <si>
    <t>select_one WAT7</t>
  </si>
  <si>
    <t>Local government</t>
  </si>
  <si>
    <t>Utility company</t>
  </si>
  <si>
    <t>Online</t>
  </si>
  <si>
    <t>Местная администрация</t>
  </si>
  <si>
    <t>Служба водоснабжения</t>
  </si>
  <si>
    <t>Через интернет</t>
  </si>
  <si>
    <t>Жергиликтүү бийлик</t>
  </si>
  <si>
    <t>Суу менен камсыздаган ишкана</t>
  </si>
  <si>
    <t>Интернет аркылуу</t>
  </si>
  <si>
    <t>URBAN: KGS 2.88 = 25% of 11.5
RURAL: KGS 4.2 = 25% of 16.8</t>
  </si>
  <si>
    <t>URBAN: KGS 5.75 = 50% of 11.5
RURAL:  KGS 8.4 = 50% of 16.8</t>
  </si>
  <si>
    <t>URBAN: KGS 11.5 = 100% of 11.5
RURAL:  KGS 16.8 = 100% of 16.8</t>
  </si>
  <si>
    <t>URBAN: KGS 17.25= 150% of 11.5
RURAL:  KGS 25.2 = 150% of 16.8</t>
  </si>
  <si>
    <t>ГОРОД: 2,88 сома = 25% от 11,5
СЕЛО: 4,2 сома = 25% от 16,8</t>
  </si>
  <si>
    <t>ГОРОД: 5,75 сома = 50% от 11,5
СЕЛО: 8,4 сома = 50% от 16,8</t>
  </si>
  <si>
    <t>ГОРОД: 11,5 сома = 100% от 11,5
СЕЛО: 16,8 сома = 100% от 16,8</t>
  </si>
  <si>
    <t>ГОРОД: 17,25 сома = 150% от 11,5
СЕЛО: 25,2 сома = 150% от 16,8</t>
  </si>
  <si>
    <t>wat12</t>
  </si>
  <si>
    <t xml:space="preserve">According to the latest data available, the average price of water in urban areas is 11.5 KGS/m3 and 16.8 KGS/m3 in rural areas. </t>
  </si>
  <si>
    <t>По последним доступным данным, средняя цена на питьевую воду в городах составляет 11.5 KGS/м³, а в сельской местности — 16.8 KGS/м³.</t>
  </si>
  <si>
    <t>Акыркы жеткиликтүү маалыматтарга ылайык, шаар жерлеринде ичүүчү суунун орточо баасы 11.5 сом/м³, ал эми айыл жергесинде — 16.8 сом/м³.</t>
  </si>
  <si>
    <t xml:space="preserve">Somewhat support </t>
  </si>
  <si>
    <t xml:space="preserve">Somewhat oppose </t>
  </si>
  <si>
    <t xml:space="preserve">Strongly oppose </t>
  </si>
  <si>
    <t xml:space="preserve">В некоторой степени поддерживаю </t>
  </si>
  <si>
    <t xml:space="preserve">Категорически против </t>
  </si>
  <si>
    <t xml:space="preserve">Толук колдойм </t>
  </si>
  <si>
    <t xml:space="preserve">Because the price is too low to cover water supply costs </t>
  </si>
  <si>
    <t xml:space="preserve">To improve the reliability and quality of water services </t>
  </si>
  <si>
    <t>To invest in upgrading/maintaining water infrastructure</t>
  </si>
  <si>
    <t>Текущая цена не покрывает затраты</t>
  </si>
  <si>
    <t>Для улучшения надежности и качества водоснабжения</t>
  </si>
  <si>
    <t xml:space="preserve">Инвестировать в обновление и обслуживание инфраструктуры </t>
  </si>
  <si>
    <t>Для снижения нагрузки на бюджет</t>
  </si>
  <si>
    <t>Анткени азыркы баа суу менен камсыздоонун чыгымдарын жаппайт</t>
  </si>
  <si>
    <t>Кызмат көрсөтүүнүн сапатын жана ишенимдүүлүгүн жакшыртуу үчүн</t>
  </si>
  <si>
    <t>Инфраструктураны жаңыртуу жана тейлөө үчүн инвестициялоо</t>
  </si>
  <si>
    <t>Бюджеттик жүктү азайтуу үчүн</t>
  </si>
  <si>
    <t xml:space="preserve">Will hurt low-income households </t>
  </si>
  <si>
    <t>Will not be able to pay my bills</t>
  </si>
  <si>
    <t>Water is a basic necessity that should remain affordable</t>
  </si>
  <si>
    <t>Нанесет ущерб домохозяйствам с низким доходом</t>
  </si>
  <si>
    <t>Я не смогу оплачивать счета</t>
  </si>
  <si>
    <t>Вода это базовая потребность и должна оставаться доступной</t>
  </si>
  <si>
    <t>Качество обслуживания не улучшится даже при более высоких ценах</t>
  </si>
  <si>
    <t>Не доверяю тому, как будут использоваться дополнительные доходы</t>
  </si>
  <si>
    <t>Аз камсыз болгон үй-бүлөлөргө зыян келтирет</t>
  </si>
  <si>
    <t>Мен эсептерди төлөй албай калам</t>
  </si>
  <si>
    <t>Суу бул негизги муктаждык жана жеткиликтүү болушу керек</t>
  </si>
  <si>
    <t>Кызматтын сапаты кымбаттаганда да жакшырбайт</t>
  </si>
  <si>
    <t>Кошумча киреше кандайча колдонуларына ишенбейм</t>
  </si>
  <si>
    <t>WAT1</t>
  </si>
  <si>
    <t>WAT2</t>
  </si>
  <si>
    <t>WAT3</t>
  </si>
  <si>
    <t>WAT5</t>
  </si>
  <si>
    <t>WAT6</t>
  </si>
  <si>
    <t>WAT7</t>
  </si>
  <si>
    <t>WAT11_1</t>
  </si>
  <si>
    <t>WAT12OPTIONS</t>
  </si>
  <si>
    <t>WAT13</t>
  </si>
  <si>
    <t>WAT15</t>
  </si>
  <si>
    <t>WAT2_1</t>
  </si>
  <si>
    <t>WAT4</t>
  </si>
  <si>
    <t>WAT14</t>
  </si>
  <si>
    <t>${wat2}=2</t>
  </si>
  <si>
    <t>${wat13}=1 or ${wat13}=2</t>
  </si>
  <si>
    <t>${wat13}=3 or ${wat13}=4</t>
  </si>
  <si>
    <t>rndwat12value</t>
  </si>
  <si>
    <t>rndwat12</t>
  </si>
  <si>
    <t>jr:choice-name(${rndwat12}, '${rndwat12options}')</t>
  </si>
  <si>
    <t>Assume the local government were immediately to increase water tariffs to _${rndwat12lbl}_, would you support or oppose this reform?</t>
  </si>
  <si>
    <t>Если местные власти немедленно повысят тарифы на воду на _${rndwat12lbl}_, вы поддержите или будете против этой реформы?</t>
  </si>
  <si>
    <t>Эгерде жергиликтүү бийлик суу тарифтерин дароо _${rndwat12lbl}_  деңгээлине көтөрсө, бул реформаны колдойсузбу же каршысызбы?</t>
  </si>
  <si>
    <t>if(${rndtrtvalue2}&lt;=0.33,1, if(${rndtrtvalue2}&gt;=0.34 and ${rndtrtvalue2}&lt;0.67, 2,3))</t>
  </si>
  <si>
    <t>int(if(${rndwat12value}&lt;0.24,1, if(${rndwat12value}&gt;=0.24 and ${rndwat12value}&lt;0.63, 3,4)))</t>
  </si>
  <si>
    <t>select_one WAT1</t>
  </si>
  <si>
    <t>select_one WAT2</t>
  </si>
  <si>
    <t>select_multiple WAT2_1</t>
  </si>
  <si>
    <t>select_one WAT3</t>
  </si>
  <si>
    <t>select_multiple WAT4</t>
  </si>
  <si>
    <t>select_one WAT5</t>
  </si>
  <si>
    <t>select_one WAT6</t>
  </si>
  <si>
    <t>select_one WAT11_1</t>
  </si>
  <si>
    <t>select_one WAT13</t>
  </si>
  <si>
    <t>select_multiple WAT14</t>
  </si>
  <si>
    <t>select_one WAT15</t>
  </si>
  <si>
    <t>wat_1gr</t>
  </si>
  <si>
    <t>wat_gr</t>
  </si>
  <si>
    <t>wat17</t>
  </si>
  <si>
    <t>select_one WAT17</t>
  </si>
  <si>
    <t>What is your main source of water supply?</t>
  </si>
  <si>
    <t>Каков ваш основной источник питьевого водоснабжения?</t>
  </si>
  <si>
    <t>Сиздин негизги ичүүчү суу булагыңыз кайсы?</t>
  </si>
  <si>
    <t xml:space="preserve">Others (please specify) </t>
  </si>
  <si>
    <t>wat18</t>
  </si>
  <si>
    <t>Сколько вы сейчас платите за питьевую воду в месяц?</t>
  </si>
  <si>
    <t>Азыр айына ичүүчү сууга канча төлөйсүз?</t>
  </si>
  <si>
    <t>int(${wat18}*150 div 100)</t>
  </si>
  <si>
    <t>wat18_150</t>
  </si>
  <si>
    <t>wat18_100</t>
  </si>
  <si>
    <t>${wat18}</t>
  </si>
  <si>
    <t>wat18_50</t>
  </si>
  <si>
    <t>int(${wat18}*50 div 100)</t>
  </si>
  <si>
    <t>wat18_25</t>
  </si>
  <si>
    <t>int(${wat18}*25 div 100)</t>
  </si>
  <si>
    <t>wat19_1</t>
  </si>
  <si>
    <t>Сиз жакшыртылган ичүүчү суу кызматтары үчүн төмөндөгү суммалардын бирин төлөөгө даярсызбы?
**_${wat18_150}_** СОМ</t>
  </si>
  <si>
    <t>Вы бы согласились заплатить **_${wat18_150}_** СОМ за улучшение качества питьевого  водоснабжения?</t>
  </si>
  <si>
    <t>Would you be willing to pay **_${wat18_150}_** KGS for improved water services?</t>
  </si>
  <si>
    <t>wat19_2</t>
  </si>
  <si>
    <t>Would you be willing to pay **_${wat18_100}_** KGS for improved water services?</t>
  </si>
  <si>
    <t>Вы бы согласились заплатить **_${wat18_100}_** СОМ за улучшение качества питьевого  водоснабжения?</t>
  </si>
  <si>
    <t>Сиз жакшыртылган ичүүчү суу кызматтары үчүн төмөндөгү суммалардын бирин төлөөгө даярсызбы?
**_${wat18_100}_** СОМ</t>
  </si>
  <si>
    <t>wat19_3</t>
  </si>
  <si>
    <t>Would you be willing to pay **_${wat18_50}_** KGS for improved water services?</t>
  </si>
  <si>
    <t>Вы бы согласились заплатить **_${wat18_50}_** СОМ за улучшение качества питьевого  водоснабжения?</t>
  </si>
  <si>
    <t>Сиз жакшыртылган ичүүчү суу кызматтары үчүн төмөндөгү суммалардын бирин төлөөгө даярсызбы?
**_${wat18_50}_** СОМ</t>
  </si>
  <si>
    <t>wat19_4</t>
  </si>
  <si>
    <t>Would you be willing to pay **_${wat18_25}_** KGS for improved water services?</t>
  </si>
  <si>
    <t>Вы бы согласились заплатить **_${wat18_25}_** СОМ за улучшение качества питьевого  водоснабжения?</t>
  </si>
  <si>
    <t>Сиз жакшыртылган ичүүчү суу кызматтары үчүн төмөндөгү суммалардын бирин төлөөгө даярсызбы?
**_${wat18_25}_** СОМ</t>
  </si>
  <si>
    <t>${wat19_1}=2</t>
  </si>
  <si>
    <t>${wat19_1}=2 and ${wat19_2}=2</t>
  </si>
  <si>
    <t>${wat19_1}=2 and ${wat19_2}=2 and ${wat19_3}=2</t>
  </si>
  <si>
    <t>wat20</t>
  </si>
  <si>
    <t>Out of 10 people in your community, how many do you think will be willing to pay a higher price for improved water supply and services?</t>
  </si>
  <si>
    <t>Из 10 человек в вашем сообществе, сколько, по вашему мнению, будут готовы платить более высокую цену за улучшение питьевого водоснабжения и услуг?</t>
  </si>
  <si>
    <t>Сиздин оюңузча, сиз жашаган коомдо 10 адамдын канчасы жакшыртылган ичүүчү суу кызматы үчүн көбүрөөк төлөөгө даяр болот?</t>
  </si>
  <si>
    <t>.&gt;=0 and .&lt;=10</t>
  </si>
  <si>
    <t>wat21</t>
  </si>
  <si>
    <t>How much you agree with: I am satisfied with my water supply?</t>
  </si>
  <si>
    <t>Насколько вы согласны с утверждением: «Я доволен своим питьевым водоснабжением»?</t>
  </si>
  <si>
    <t>Сиз төмөнкү билдирүү менен канчалык деңгээлде макулсуз: "Мен ичүүчү суу менен камсыздоо кызматына канааттанам"?</t>
  </si>
  <si>
    <t>wat22</t>
  </si>
  <si>
    <t>How much do you agree with: I am satisfied with the quality of my water?</t>
  </si>
  <si>
    <t>Насколько вы согласны с утверждением: «Я доволен качеством своей питьевой воды»?</t>
  </si>
  <si>
    <t>Сиз төмөнкү билдирүү менен канчалык деңгээлде макулсуз: "Мен ичүүчү суунун сапатына канааттанам"?</t>
  </si>
  <si>
    <t>If not, why?</t>
  </si>
  <si>
    <t>Если нет, то почему?</t>
  </si>
  <si>
    <t>Эмне үчүн канааттанбайсыз?</t>
  </si>
  <si>
    <t>How much do you agree with: I am willing to pay more for improved water services?</t>
  </si>
  <si>
    <t>Насколько вы согласны с утверждением: «Я готов платить больше за улучшение качества питьевого водоснабжения»?</t>
  </si>
  <si>
    <t>Сиз төмөнкү билдирүү менен канчалык макулсуз: "Мен жакшыртылган ичүүчү суу кызматтары үчүн көбүрөөк төлөөгө даярмын"?</t>
  </si>
  <si>
    <t>wat23</t>
  </si>
  <si>
    <t>wat24</t>
  </si>
  <si>
    <t>Do you receive information from your service provider about the water service?</t>
  </si>
  <si>
    <t>Получаете ли вы от своего поставщика услуг информацию о питьевом водоснабжении?</t>
  </si>
  <si>
    <t>Сизге ичүүчү суу менен камсыздоочу уюм тарабынан кызмат тууралуу маалымат берилеби?</t>
  </si>
  <si>
    <t>wat24_1_</t>
  </si>
  <si>
    <t>What do you receive information about?</t>
  </si>
  <si>
    <t>О чем вы получаете информацию?</t>
  </si>
  <si>
    <t>Маалымат кайсы темада берилет?</t>
  </si>
  <si>
    <t>select_one WAT24</t>
  </si>
  <si>
    <t>wat24_2</t>
  </si>
  <si>
    <t>How is this information provided?</t>
  </si>
  <si>
    <t>Как предоставляется эта информация?</t>
  </si>
  <si>
    <t>Бул маалымат кандай формада берилет?</t>
  </si>
  <si>
    <t>Do you think it is necessary to improve the water supply in your household?</t>
  </si>
  <si>
    <t>Считаете ли вы необходимым улучшить питьевое водоснабжение в вашем доме?</t>
  </si>
  <si>
    <t>Сиздин үй чарбаңыз үчүн ичүүчү суу менен камсыздоону жакшыртуу зарыл деп ойлойсузбу?</t>
  </si>
  <si>
    <t>wat25</t>
  </si>
  <si>
    <t>wat26</t>
  </si>
  <si>
    <t>Do you receive financial support to pay your water invoice?</t>
  </si>
  <si>
    <t>Получаете ли вы финансовую поддержку для оплаты счетов за воду?</t>
  </si>
  <si>
    <t>Ичүүчү суу үчүн эсепти төлөөдө сизге финансылык жардам көрсөтүлөбү?</t>
  </si>
  <si>
    <t>select_one WAT26</t>
  </si>
  <si>
    <t>wat26_1</t>
  </si>
  <si>
    <t>If yes, does it cover:</t>
  </si>
  <si>
    <t>Если да, то какую часть покрывает:</t>
  </si>
  <si>
    <t>Эгер ооба болсо, бул жардам канча бөлүгүн камтыйт:</t>
  </si>
  <si>
    <t>wat26_2</t>
  </si>
  <si>
    <t>Do you receive this financial support because you are considered a vulnerable household?</t>
  </si>
  <si>
    <t xml:space="preserve">Получаете ли вы эту финансовую поддержку, потому что ваша домохозяйство считается уязвимой? </t>
  </si>
  <si>
    <t>Эгер ооба, бул жардам сиздин үй чарбаңыз аялуу болуп эсептелген үчүн берилеби?</t>
  </si>
  <si>
    <t>wat27</t>
  </si>
  <si>
    <t>select_one WAT27</t>
  </si>
  <si>
    <t>Who is providing you with water supply services?</t>
  </si>
  <si>
    <t>Кто предоставляет вам услуги питьевого водоснабжения?</t>
  </si>
  <si>
    <t>Сизге ичүүчү суу менен камсыздоо кызматын ким көрсөтөт?</t>
  </si>
  <si>
    <t>wat28</t>
  </si>
  <si>
    <t>Do you have access to piped water in your household?</t>
  </si>
  <si>
    <t>Есть ли в вашем домохозяйстве доступ к центральному водоснабжению?</t>
  </si>
  <si>
    <t>Сиздин үй чарбаңызда борбордук сууга жеткиликтүүлүгү барбы?</t>
  </si>
  <si>
    <t xml:space="preserve">Piped water </t>
  </si>
  <si>
    <t xml:space="preserve">Irrigation channel </t>
  </si>
  <si>
    <t xml:space="preserve">Individual well/ borehole </t>
  </si>
  <si>
    <t xml:space="preserve">Tanker trucks </t>
  </si>
  <si>
    <t xml:space="preserve">Public tap/ stand pipe </t>
  </si>
  <si>
    <t xml:space="preserve">Централизованное водоснабжение </t>
  </si>
  <si>
    <t xml:space="preserve">Ирригационный канал </t>
  </si>
  <si>
    <t xml:space="preserve">Индивидуальная скважина/буровая скважина </t>
  </si>
  <si>
    <t xml:space="preserve">Водовозы </t>
  </si>
  <si>
    <t xml:space="preserve">Борбордук суу </t>
  </si>
  <si>
    <t xml:space="preserve">Сугат каналы </t>
  </si>
  <si>
    <t xml:space="preserve">Жеке кудук / скважина </t>
  </si>
  <si>
    <t xml:space="preserve">Цистерна менен ташылган суу </t>
  </si>
  <si>
    <t xml:space="preserve">Дарыялар </t>
  </si>
  <si>
    <t xml:space="preserve">Коомдук колонка / суу түтүгү </t>
  </si>
  <si>
    <t>The smell of water is not good</t>
  </si>
  <si>
    <t>The taste is not good</t>
  </si>
  <si>
    <t>The color seems off</t>
  </si>
  <si>
    <t>Others (please specify)</t>
  </si>
  <si>
    <t>Запах воды не очень хороший</t>
  </si>
  <si>
    <t>Вкус не очень хороший</t>
  </si>
  <si>
    <t>Цвет кажется ненормальным</t>
  </si>
  <si>
    <t>Другое (укажите, пожалуйста)</t>
  </si>
  <si>
    <t>Суунун жыты начар</t>
  </si>
  <si>
    <t>Даамы начар</t>
  </si>
  <si>
    <t>Түсү таза эмес көрүнөт</t>
  </si>
  <si>
    <t>wat22_1_</t>
  </si>
  <si>
    <t>select_multiple WAT22</t>
  </si>
  <si>
    <t>Yes, regularly</t>
  </si>
  <si>
    <t>Да, регулярно</t>
  </si>
  <si>
    <t>Нет, никогда</t>
  </si>
  <si>
    <t>Ооба, дайыма</t>
  </si>
  <si>
    <t>Такыр берилбейт</t>
  </si>
  <si>
    <t>select_multiple WAT24_1</t>
  </si>
  <si>
    <t>Water quality</t>
  </si>
  <si>
    <t>Hours of water delivery-availability</t>
  </si>
  <si>
    <t>Water tariffs</t>
  </si>
  <si>
    <t>Качество воды</t>
  </si>
  <si>
    <t>Часы подачи и доступности воды</t>
  </si>
  <si>
    <t>Тарифы на воду</t>
  </si>
  <si>
    <t>Суунун сапаты тууралуу</t>
  </si>
  <si>
    <t>Сууну берүү сааты жана жеткиликтүүлүгү тууралуу</t>
  </si>
  <si>
    <t>Суу тарифтери тууралуу</t>
  </si>
  <si>
    <t>select_one WAT24_2</t>
  </si>
  <si>
    <t>Public message</t>
  </si>
  <si>
    <t>Leaflet with invoice</t>
  </si>
  <si>
    <t>City newsletter</t>
  </si>
  <si>
    <t>Website</t>
  </si>
  <si>
    <t>Others (Please specify)</t>
  </si>
  <si>
    <t>Публичное сообщение</t>
  </si>
  <si>
    <t>Листовка с квитанцией</t>
  </si>
  <si>
    <t>Городской информационный бюллетень</t>
  </si>
  <si>
    <t>Веб-сайт</t>
  </si>
  <si>
    <t>Коомдук билдирүү</t>
  </si>
  <si>
    <t>Төлөм кагазы менен буклет</t>
  </si>
  <si>
    <t>Шаардык кабар кагазы</t>
  </si>
  <si>
    <t>All your invoice</t>
  </si>
  <si>
    <t>A part of your invoice</t>
  </si>
  <si>
    <t>Всю сумму счета</t>
  </si>
  <si>
    <t>Часть суммы счета</t>
  </si>
  <si>
    <t>Эсептин бардыгын</t>
  </si>
  <si>
    <t>Эсептин бир бөлүгүн гана</t>
  </si>
  <si>
    <t>Community of drinking water users association (CDWUA)</t>
  </si>
  <si>
    <t>Municipal enterprise Vodocanal</t>
  </si>
  <si>
    <t>Сельское общественное объединение потребителей питьевой воды (СООППВ)</t>
  </si>
  <si>
    <t>Муниципальное предприятие Водоканал</t>
  </si>
  <si>
    <t>Ичүүчү суу пайдалануучулар коомчулугу (СООППВ)</t>
  </si>
  <si>
    <t>Водоканал муниципалдык ишканасы</t>
  </si>
  <si>
    <t>Other (please specify)</t>
  </si>
  <si>
    <t>wat28_1</t>
  </si>
  <si>
    <t>select_one WAT28_1</t>
  </si>
  <si>
    <t>Women in the household</t>
  </si>
  <si>
    <t>Men in the household</t>
  </si>
  <si>
    <t>Both men and women</t>
  </si>
  <si>
    <t>Женщины в домохозяйстве</t>
  </si>
  <si>
    <t>Мужчины в домохозяйстве</t>
  </si>
  <si>
    <t>И мужчины, и женщины</t>
  </si>
  <si>
    <t>Үй чарбадагы аялдар</t>
  </si>
  <si>
    <t>Үй чарбадагы эркектер</t>
  </si>
  <si>
    <t>Экөө тең</t>
  </si>
  <si>
    <t>WAT17</t>
  </si>
  <si>
    <t>WAT22</t>
  </si>
  <si>
    <t>WAT24</t>
  </si>
  <si>
    <t>WAT24_2</t>
  </si>
  <si>
    <t>WAT26</t>
  </si>
  <si>
    <t>WAT27</t>
  </si>
  <si>
    <t>WAT28_1</t>
  </si>
  <si>
    <t>WAT24_1</t>
  </si>
  <si>
    <t>сом</t>
  </si>
  <si>
    <t>${wat22}=3 or ${wat22}=4</t>
  </si>
  <si>
    <t>${wat24}=1 or ${wat24}=2</t>
  </si>
  <si>
    <t>${wat26}=1</t>
  </si>
  <si>
    <t>${wat28}=2</t>
  </si>
  <si>
    <t>L2KGZ_CATI_R44</t>
  </si>
  <si>
    <t>number(pulldata('ROSTER_R44', 'partupd', 'hhid', ${hhid}))</t>
  </si>
  <si>
    <t>number(pulldata('NAMES_R44', 'hhsize', 'hhid', ${hhid}))</t>
  </si>
  <si>
    <t>number(pulldata('NAMES_R44', 'fmid_max', 'hhid', ${hhid}))</t>
  </si>
  <si>
    <t>pulldata('NAMES_R44', 'name1', 'hhid', ${hhid})</t>
  </si>
  <si>
    <t>pulldata('NAMES_R44', 'name2', 'hhid', ${hhid})</t>
  </si>
  <si>
    <t>pulldata('NAMES_R44', 'name3', 'hhid', ${hhid})</t>
  </si>
  <si>
    <t>pulldata('NAMES_R44', 'name4', 'hhid', ${hhid})</t>
  </si>
  <si>
    <t>pulldata('NAMES_R44', 'name5', 'hhid', ${hhid})</t>
  </si>
  <si>
    <t>pulldata('NAMES_R44', 'name6', 'hhid', ${hhid})</t>
  </si>
  <si>
    <t>pulldata('NAMES_R44', 'name7', 'hhid', ${hhid})</t>
  </si>
  <si>
    <t>pulldata('NAMES_R44', 'name8', 'hhid', ${hhid})</t>
  </si>
  <si>
    <t>pulldata('NAMES_R44', 'name9', 'hhid', ${hhid})</t>
  </si>
  <si>
    <t>pulldata('NAMES_R44', 'name10', 'hhid', ${hhid})</t>
  </si>
  <si>
    <t>pulldata('NAMES_R44', 'name11', 'hhid', ${hhid})</t>
  </si>
  <si>
    <t>pulldata('NAMES_R44', 'name12', 'hhid', ${hhid})</t>
  </si>
  <si>
    <t>pulldata('NAMES_R44', 'name13', 'hhid', ${hhid})</t>
  </si>
  <si>
    <t>pulldata('NAMES_R44', 'name14', 'hhid', ${hhid})</t>
  </si>
  <si>
    <t>pulldata('NAMES_R44', 'name15', 'hhid', ${hhid})</t>
  </si>
  <si>
    <t>pulldata('NAMES_R44', 'name16', 'hhid', ${hhid})</t>
  </si>
  <si>
    <t>pulldata('NAMES_R44', 'name17', 'hhid', ${hhid})</t>
  </si>
  <si>
    <t>pulldata('NAMES_R44', 'name18', 'hhid', ${hhid})</t>
  </si>
  <si>
    <t>pulldata('NAMES_R44', 'name19', 'hhid', ${hhid})</t>
  </si>
  <si>
    <t>pulldata('NAMES_R44', 'name20', 'hhid', ${hhid})</t>
  </si>
  <si>
    <t>pulldata('NAMES_R44', 'name21', 'hhid', ${hhid})</t>
  </si>
  <si>
    <t>pulldata('NAMES_R44', 'name22', 'hhid', ${hhid})</t>
  </si>
  <si>
    <t>pulldata('NAMES_R44', 'name23', 'hhid', ${hhid})</t>
  </si>
  <si>
    <t>pulldata('NAMES_R44', 'name24', 'hhid', ${hhid})</t>
  </si>
  <si>
    <t>pulldata('NAMES_R44', 'name25', 'hhid', ${hhid})</t>
  </si>
  <si>
    <t>pulldata('AGES_R44', 'age1', 'hhid', ${hhid})</t>
  </si>
  <si>
    <t>pulldata('AGES_R44', 'age2', 'hhid', ${hhid})</t>
  </si>
  <si>
    <t>pulldata('AGES_R44', 'age3', 'hhid', ${hhid})</t>
  </si>
  <si>
    <t>pulldata('AGES_R44', 'age4', 'hhid', ${hhid})</t>
  </si>
  <si>
    <t>pulldata('AGES_R44', 'age5', 'hhid', ${hhid})</t>
  </si>
  <si>
    <t>pulldata('AGES_R44', 'age6', 'hhid', ${hhid})</t>
  </si>
  <si>
    <t>pulldata('AGES_R44', 'age7', 'hhid', ${hhid})</t>
  </si>
  <si>
    <t>pulldata('AGES_R44', 'age8', 'hhid', ${hhid})</t>
  </si>
  <si>
    <t>pulldata('AGES_R44', 'age9', 'hhid', ${hhid})</t>
  </si>
  <si>
    <t>pulldata('AGES_R44', 'age10', 'hhid', ${hhid})</t>
  </si>
  <si>
    <t>pulldata('AGES_R44', 'age11', 'hhid', ${hhid})</t>
  </si>
  <si>
    <t>pulldata('AGES_R44', 'age12', 'hhid', ${hhid})</t>
  </si>
  <si>
    <t>pulldata('AGES_R44', 'age13', 'hhid', ${hhid})</t>
  </si>
  <si>
    <t>pulldata('AGES_R44', 'age14', 'hhid', ${hhid})</t>
  </si>
  <si>
    <t>pulldata('AGES_R44', 'age15', 'hhid', ${hhid})</t>
  </si>
  <si>
    <t>pulldata('AGES_R44', 'age16', 'hhid', ${hhid})</t>
  </si>
  <si>
    <t>pulldata('AGES_R44', 'age17', 'hhid', ${hhid})</t>
  </si>
  <si>
    <t>pulldata('AGES_R44', 'age18', 'hhid', ${hhid})</t>
  </si>
  <si>
    <t>pulldata('AGES_R44', 'age19', 'hhid', ${hhid})</t>
  </si>
  <si>
    <t>pulldata('AGES_R44', 'age20', 'hhid', ${hhid})</t>
  </si>
  <si>
    <t>pulldata('AGES_R44', 'age21', 'hhid', ${hhid})</t>
  </si>
  <si>
    <t>pulldata('AGES_R44', 'age22', 'hhid', ${hhid})</t>
  </si>
  <si>
    <t>pulldata('AGES_R44', 'age23', 'hhid', ${hhid})</t>
  </si>
  <si>
    <t>pulldata('AGES_R44', 'age24', 'hhid', ${hhid})</t>
  </si>
  <si>
    <t>pulldata('AGES_R44', 'age25', 'hhid', ${hhid})</t>
  </si>
  <si>
    <t>2023 - pulldata('AGES_R44', ${respagefield}, 'hhid', ${hhid})</t>
  </si>
  <si>
    <t>pulldata('NAMES_R44',${fmidfieldname}, 'hhid', ${hhid})</t>
  </si>
  <si>
    <t>pulldata('DAYS_R44',${fmidfielddays}, 'hhid', ${hhid})</t>
  </si>
  <si>
    <t>if ((indexed-repeat(${residing}, ${old_},1)=2) ,'' , if ((${oldage1} != ''), if((indexed-repeat(${residing}, ${old_}, 1)=4),indexed-repeat(${calcoldage}, ${old_}, 1),int((decimal-date-time(today()) - 18839 + pulldata('DAYS_R44','days1', 'hhid', ${hhid})) div 365.25)),  if((1 &lt;= ${fmid_max}), ${oldp1}, indexed-repeat(${calcage}, ${new_}, 1 - ${fmid_max}))))</t>
  </si>
  <si>
    <t>if ((indexed-repeat(${residing}, ${old_},2)=2) ,'' , if ((${oldage2} != ''), if((indexed-repeat(${residing}, ${old_}, 2)=4),indexed-repeat(${calcoldage}, ${old_}, 2),int((decimal-date-time(today()) - 18839 + pulldata('DAYS_R44','days2', 'hhid', ${hhid})) div 365.25)),  if((2 &lt;= ${fmid_max}), ${oldp2}, indexed-repeat(${calcage}, ${new_}, 2 - ${fmid_max}))))</t>
  </si>
  <si>
    <t>if ((indexed-repeat(${residing}, ${old_},3)=2) ,'' , if ((${oldage3} != ''), if((indexed-repeat(${residing}, ${old_}, 3)=4),indexed-repeat(${calcoldage}, ${old_}, 3),int((decimal-date-time(today()) - 18839 + pulldata('DAYS_R44','days3', 'hhid', ${hhid})) div 365.25)),  if((3 &lt;= ${fmid_max}), ${oldp3}, indexed-repeat(${calcage}, ${new_}, 3 - ${fmid_max}))))</t>
  </si>
  <si>
    <t>if ((indexed-repeat(${residing}, ${old_},4)=2) ,'' , if ((${oldage4} != ''), if((indexed-repeat(${residing}, ${old_}, 4)=4),indexed-repeat(${calcoldage}, ${old_}, 4),int((decimal-date-time(today()) - 18839 + pulldata('DAYS_R44','days4', 'hhid', ${hhid})) div 365.25)),  if((4 &lt;= ${fmid_max}), ${oldp4}, indexed-repeat(${calcage}, ${new_}, 4 - ${fmid_max}))))</t>
  </si>
  <si>
    <t>if ((indexed-repeat(${residing}, ${old_},5)=2) ,'' , if ((${oldage5} != ''), if((indexed-repeat(${residing}, ${old_}, 5)=4),indexed-repeat(${calcoldage}, ${old_}, 5),int((decimal-date-time(today()) - 18839 + pulldata('DAYS_R44','days5', 'hhid', ${hhid})) div 365.25)),  if((5 &lt;= ${fmid_max}), ${oldp5}, indexed-repeat(${calcage}, ${new_}, 5 - ${fmid_max}))))</t>
  </si>
  <si>
    <t>if ((indexed-repeat(${residing}, ${old_},6)=2) ,'' , if ((${oldage6} != ''), if((indexed-repeat(${residing}, ${old_}, 6)=4),indexed-repeat(${calcoldage}, ${old_}, 6),int((decimal-date-time(today()) - 18839 + pulldata('DAYS_R44','days6', 'hhid', ${hhid})) div 365.25)),  if((6 &lt;= ${fmid_max}), ${oldp6}, indexed-repeat(${calcage}, ${new_}, 6 - ${fmid_max}))))</t>
  </si>
  <si>
    <t>if ((indexed-repeat(${residing}, ${old_},7)=2) ,'' , if ((${oldage7} != ''), if((indexed-repeat(${residing}, ${old_}, 7)=4),indexed-repeat(${calcoldage}, ${old_}, 7),int((decimal-date-time(today()) - 18839 + pulldata('DAYS_R44','days7', 'hhid', ${hhid})) div 365.25)),  if((7 &lt;= ${fmid_max}), ${oldp7}, indexed-repeat(${calcage}, ${new_}, 7 - ${fmid_max}))))</t>
  </si>
  <si>
    <t>if ((indexed-repeat(${residing}, ${old_},8)=2) ,'' , if ((${oldage8} != ''), if((indexed-repeat(${residing}, ${old_}, 8)=4),indexed-repeat(${calcoldage}, ${old_}, 8),int((decimal-date-time(today()) - 18839 + pulldata('DAYS_R44','days8', 'hhid', ${hhid})) div 365.25)),  if((8 &lt;= ${fmid_max}), ${oldp8}, indexed-repeat(${calcage}, ${new_}, 8 - ${fmid_max}))))</t>
  </si>
  <si>
    <t>if ((indexed-repeat(${residing}, ${old_},9)=2) ,'' , if ((${oldage9} != ''), if((indexed-repeat(${residing}, ${old_}, 9)=4),indexed-repeat(${calcoldage}, ${old_}, 9),int((decimal-date-time(today()) - 18839 + pulldata('DAYS_R44','days9', 'hhid', ${hhid})) div 365.25)),  if((9 &lt;= ${fmid_max}), ${oldp9}, indexed-repeat(${calcage}, ${new_}, 9 - ${fmid_max}))))</t>
  </si>
  <si>
    <t>if ((indexed-repeat(${residing}, ${old_},10)=2) ,'' , if ((${oldage10} != ''), if((indexed-repeat(${residing}, ${old_}, 10)=4),indexed-repeat(${calcoldage}, ${old_}, 10),int((decimal-date-time(today()) - 18839 + pulldata('DAYS_R44','days10', 'hhid', ${hhid})) div 365.25)),  if((10 &lt;= ${fmid_max}), ${oldp10}, indexed-repeat(${calcage}, ${new_}, 10 - ${fmid_max}))))</t>
  </si>
  <si>
    <t>if ((indexed-repeat(${residing}, ${old_},11)=2) ,'' , if ((${oldage11} != ''), if((indexed-repeat(${residing}, ${old_}, 11)=4),indexed-repeat(${calcoldage}, ${old_}, 11),int((decimal-date-time(today()) - 18839 + pulldata('DAYS_R44','days11', 'hhid', ${hhid})) div 365.25)),  if((11 &lt;= ${fmid_max}), ${oldp11}, indexed-repeat(${calcage}, ${new_}, 11 - ${fmid_max}))))</t>
  </si>
  <si>
    <t>if ((indexed-repeat(${residing}, ${old_},12)=2) ,'' , if ((${oldage12} != ''), if((indexed-repeat(${residing}, ${old_}, 12)=4),indexed-repeat(${calcoldage}, ${old_}, 12),int((decimal-date-time(today()) - 18839 + pulldata('DAYS_R44','days12', 'hhid', ${hhid})) div 365.25)),  if((12 &lt;= ${fmid_max}), ${oldp12}, indexed-repeat(${calcage}, ${new_}, 12 - ${fmid_max}))))</t>
  </si>
  <si>
    <t>if ((indexed-repeat(${residing}, ${old_},13)=2) ,'' , if ((${oldage13} != ''), if((indexed-repeat(${residing}, ${old_}, 13)=4),indexed-repeat(${calcoldage}, ${old_}, 13),int((decimal-date-time(today()) - 18839 + pulldata('DAYS_R44','days13', 'hhid', ${hhid})) div 365.25)),  if((13 &lt;= ${fmid_max}), ${oldp13}, indexed-repeat(${calcage}, ${new_}, 13 - ${fmid_max}))))</t>
  </si>
  <si>
    <t>if ((indexed-repeat(${residing}, ${old_},14)=2) ,'' , if ((${oldage14} != ''), if((indexed-repeat(${residing}, ${old_}, 14)=4),indexed-repeat(${calcoldage}, ${old_}, 14),int((decimal-date-time(today()) - 18839 + pulldata('DAYS_R44','days14', 'hhid', ${hhid})) div 365.25)),  if((14 &lt;= ${fmid_max}), ${oldp14}, indexed-repeat(${calcage}, ${new_}, 14 - ${fmid_max}))))</t>
  </si>
  <si>
    <t>if ((indexed-repeat(${residing}, ${old_},15)=2) ,'' , if ((${oldage15} != ''), if((indexed-repeat(${residing}, ${old_}, 15)=4),indexed-repeat(${calcoldage}, ${old_}, 15),int((decimal-date-time(today()) - 18839 + pulldata('DAYS_R44','days15', 'hhid', ${hhid})) div 365.25)),  if((15 &lt;= ${fmid_max}), ${oldp15}, indexed-repeat(${calcage}, ${new_}, 15 - ${fmid_max}))))</t>
  </si>
  <si>
    <t>if ((indexed-repeat(${residing}, ${old_},16)=2) ,'' , if ((${oldage16} != ''), if((indexed-repeat(${residing}, ${old_}, 16)=4),indexed-repeat(${calcoldage}, ${old_}, 16),int((decimal-date-time(today()) - 18839 + pulldata('DAYS_R44','days16', 'hhid', ${hhid})) div 365.25)),  if((16 &lt;= ${fmid_max}), ${oldp16}, indexed-repeat(${calcage}, ${new_}, 16 - ${fmid_max}))))</t>
  </si>
  <si>
    <t>if ((indexed-repeat(${residing}, ${old_},17)=2) ,'' , if ((${oldage17} != ''), if((indexed-repeat(${residing}, ${old_}, 17)=4),indexed-repeat(${calcoldage}, ${old_}, 17),int((decimal-date-time(today()) - 18839 + pulldata('DAYS_R44','days17', 'hhid', ${hhid})) div 365.25)),  if((17 &lt;= ${fmid_max}), ${oldp17}, indexed-repeat(${calcage}, ${new_}, 17 - ${fmid_max}))))</t>
  </si>
  <si>
    <t>if ((indexed-repeat(${residing}, ${old_},18)=2) ,'' , if ((${oldage18} != ''), if((indexed-repeat(${residing}, ${old_}, 18)=4),indexed-repeat(${calcoldage}, ${old_}, 18),int((decimal-date-time(today()) - 18839 + pulldata('DAYS_R44','days18', 'hhid', ${hhid})) div 365.25)),  if((18 &lt;= ${fmid_max}), ${oldp18}, indexed-repeat(${calcage}, ${new_}, 18 - ${fmid_max}))))</t>
  </si>
  <si>
    <t>if ((indexed-repeat(${residing}, ${old_},19)=2) ,'' , if ((${oldage19} != ''), if((indexed-repeat(${residing}, ${old_}, 19)=4),indexed-repeat(${calcoldage}, ${old_}, 19),int((decimal-date-time(today()) - 18839 + pulldata('DAYS_R44','days19', 'hhid', ${hhid})) div 365.25)),  if((19 &lt;= ${fmid_max}), ${oldp19}, indexed-repeat(${calcage}, ${new_}, 19 - ${fmid_max}))))</t>
  </si>
  <si>
    <t>if ((indexed-repeat(${residing}, ${old_},20)=2) ,'' , if ((${oldage20} != ''), if((indexed-repeat(${residing}, ${old_}, 20)=4),indexed-repeat(${calcoldage}, ${old_}, 20),int((decimal-date-time(today()) - 18839 + pulldata('DAYS_R44','days20', 'hhid', ${hhid})) div 365.25)),  if((20 &lt;= ${fmid_max}), ${oldp20}, indexed-repeat(${calcage}, ${new_}, 20 - ${fmid_max}))))</t>
  </si>
  <si>
    <t>if ((indexed-repeat(${residing}, ${old_},21)=2) ,'' , if ((${oldage21} != ''), if((indexed-repeat(${residing}, ${old_}, 21)=4),indexed-repeat(${calcoldage}, ${old_}, 21),int((decimal-date-time(today()) - 18839 + pulldata('DAYS_R44','days21', 'hhid', ${hhid})) div 365.25)),  if((21 &lt;= ${fmid_max}), ${oldp21}, indexed-repeat(${calcage}, ${new_}, 21 - ${fmid_max}))))</t>
  </si>
  <si>
    <t>if ((indexed-repeat(${residing}, ${old_},22)=2) ,'' , if ((${oldage22} != ''), if((indexed-repeat(${residing}, ${old_}, 22)=4),indexed-repeat(${calcoldage}, ${old_}, 22),int((decimal-date-time(today()) - 18839 + pulldata('DAYS_R44','days22', 'hhid', ${hhid})) div 365.25)),  if((22 &lt;= ${fmid_max}), ${oldp22}, indexed-repeat(${calcage}, ${new_}, 22 - ${fmid_max}))))</t>
  </si>
  <si>
    <t>if ((indexed-repeat(${residing}, ${old_},23)=2) ,'' , if ((${oldage23} != ''), if((indexed-repeat(${residing}, ${old_}, 23)=4),indexed-repeat(${calcoldage}, ${old_}, 23),int((decimal-date-time(today()) - 18839 + pulldata('DAYS_R44','days23', 'hhid', ${hhid})) div 365.25)),  if((23 &lt;= ${fmid_max}), ${oldp23}, indexed-repeat(${calcage}, ${new_}, 23 - ${fmid_max}))))</t>
  </si>
  <si>
    <t>if ((indexed-repeat(${residing}, ${old_},24)=2) ,'' , if ((${oldage24} != ''), if((indexed-repeat(${residing}, ${old_}, 24)=4),indexed-repeat(${calcoldage}, ${old_}, 24),int((decimal-date-time(today()) - 18839 + pulldata('DAYS_R44','days24', 'hhid', ${hhid})) div 365.25)),  if((24 &lt;= ${fmid_max}), ${oldp24}, indexed-repeat(${calcage}, ${new_}, 24 - ${fmid_max}))))</t>
  </si>
  <si>
    <t>if ((indexed-repeat(${residing}, ${old_},25)=2) ,'' , if ((${oldage25} != ''), if((indexed-repeat(${residing}, ${old_}, 25)=4),indexed-repeat(${calcoldage}, ${old_}, 25),int((decimal-date-time(today()) - 18839 + pulldata('DAYS_R44','days25', 'hhid', ${hhid})) div 365.25)),  if((25 &lt;= ${fmid_max}), ${oldp25}, indexed-repeat(${calcage}, ${new_}, 25 - ${fmid_max}))))</t>
  </si>
  <si>
    <t>number(pulldata('RENT_R44', 'rent1', 'hhid', ${hhid}))</t>
  </si>
  <si>
    <t>int(if(${rndx15value}&lt;0.25,1, if(${rndx15value}&gt;=0.25 and ${rndx15value}&lt;=0.50, 2, if(${rndx15value}&gt;0.50 and ${rndx15value}&lt;=0.75,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</si>
</sst>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charset val="204"/>
      <scheme val="minor"/>
    </font>
    <font>
      <sz val="10"/>
      <name val="Arial"/>
      <family val="2"/>
      <charset val="204"/>
    </font>
    <font>
      <sz val="8"/>
      <name val="Arial"/>
      <family val="2"/>
    </font>
    <font>
      <sz val="10"/>
      <name val="Arial"/>
      <family val="2"/>
    </font>
    <font>
      <sz val="11"/>
      <color theme="1"/>
      <name val="Calibri"/>
      <family val="2"/>
      <charset val="204"/>
      <scheme val="minor"/>
    </font>
    <font>
      <sz val="10"/>
      <color theme="1"/>
      <name val="Arial"/>
      <family val="2"/>
    </font>
    <font>
      <sz val="11"/>
      <color rgb="FF000000"/>
      <name val="Calibri"/>
      <family val="2"/>
    </font>
    <font>
      <sz val="11"/>
      <color theme="1"/>
      <name val="Calibri"/>
      <family val="2"/>
      <scheme val="minor"/>
    </font>
    <font>
      <sz val="11"/>
      <name val="Calibri"/>
      <family val="2"/>
      <charset val="204"/>
    </font>
    <font>
      <sz val="10"/>
      <name val="Verdana"/>
      <family val="2"/>
      <charset val="204"/>
    </font>
    <font>
      <sz val="12"/>
      <name val="Arial"/>
      <family val="2"/>
    </font>
    <font>
      <sz val="12"/>
      <color theme="1"/>
      <name val="Calibri"/>
      <family val="2"/>
      <scheme val="minor"/>
    </font>
    <font>
      <sz val="10"/>
      <name val="Arial"/>
      <family val="2"/>
      <charset val="204"/>
    </font>
    <font>
      <sz val="8"/>
      <name val="Calibri"/>
      <family val="2"/>
      <charset val="204"/>
      <scheme val="minor"/>
    </font>
    <font>
      <sz val="10"/>
      <color theme="1"/>
      <name val="Arial"/>
      <family val="2"/>
      <charset val="204"/>
    </font>
    <font>
      <sz val="10"/>
      <color rgb="FF000000"/>
      <name val="Tahoma"/>
      <family val="2"/>
    </font>
    <font>
      <b/>
      <sz val="10"/>
      <color rgb="FF000000"/>
      <name val="Tahoma"/>
      <family val="2"/>
    </font>
    <font>
      <b/>
      <sz val="10"/>
      <color theme="1"/>
      <name val="Arial"/>
      <family val="2"/>
    </font>
    <font>
      <i/>
      <sz val="10"/>
      <name val="Arial"/>
      <family val="2"/>
    </font>
    <font>
      <i/>
      <sz val="10"/>
      <color theme="1"/>
      <name val="Arial"/>
      <family val="2"/>
    </font>
    <font>
      <sz val="10"/>
      <color indexed="8"/>
      <name val="Arial"/>
      <family val="2"/>
    </font>
    <font>
      <sz val="10"/>
      <color rgb="FFFF0000"/>
      <name val="Arial"/>
      <family val="2"/>
    </font>
    <font>
      <b/>
      <sz val="14"/>
      <name val="Arial"/>
      <family val="2"/>
    </font>
    <font>
      <b/>
      <i/>
      <sz val="14"/>
      <name val="Arial"/>
      <family val="2"/>
    </font>
    <font>
      <b/>
      <sz val="14"/>
      <color theme="1"/>
      <name val="Arial"/>
      <family val="2"/>
    </font>
    <font>
      <b/>
      <sz val="16"/>
      <color theme="0"/>
      <name val="Arial"/>
      <family val="2"/>
    </font>
    <font>
      <b/>
      <i/>
      <sz val="16"/>
      <color theme="0"/>
      <name val="Arial"/>
      <family val="2"/>
    </font>
    <font>
      <b/>
      <sz val="16"/>
      <color theme="1"/>
      <name val="Arial"/>
      <family val="2"/>
    </font>
    <font>
      <b/>
      <sz val="10"/>
      <color rgb="FFFF0000"/>
      <name val="Arial"/>
      <family val="2"/>
    </font>
    <font>
      <sz val="10"/>
      <color theme="0"/>
      <name val="Arial"/>
      <family val="2"/>
    </font>
    <font>
      <sz val="10"/>
      <color rgb="FF000000"/>
      <name val="Arial Narrow"/>
      <family val="2"/>
    </font>
    <font>
      <sz val="10"/>
      <color rgb="FF000000"/>
      <name val="Calibri"/>
      <family val="2"/>
      <scheme val="minor"/>
    </font>
    <font>
      <sz val="10"/>
      <color theme="1"/>
      <name val="Arial Narrow"/>
      <family val="2"/>
    </font>
    <font>
      <sz val="10"/>
      <color theme="1"/>
      <name val="Calibri"/>
      <family val="2"/>
    </font>
    <font>
      <b/>
      <sz val="12"/>
      <name val="Arial"/>
      <family val="2"/>
    </font>
    <font>
      <b/>
      <i/>
      <sz val="12"/>
      <name val="Arial"/>
      <family val="2"/>
    </font>
    <font>
      <b/>
      <i/>
      <sz val="14"/>
      <color theme="1"/>
      <name val="Arial"/>
      <family val="2"/>
    </font>
    <font>
      <b/>
      <sz val="12"/>
      <color theme="1"/>
      <name val="Arial"/>
      <family val="2"/>
    </font>
    <font>
      <b/>
      <i/>
      <sz val="12"/>
      <color theme="1"/>
      <name val="Arial"/>
      <family val="2"/>
    </font>
    <font>
      <b/>
      <sz val="14"/>
      <color theme="0"/>
      <name val="Arial"/>
      <family val="2"/>
    </font>
    <font>
      <b/>
      <sz val="10"/>
      <color rgb="FFFF0000"/>
      <name val="Arial"/>
      <family val="2"/>
      <charset val="204"/>
    </font>
    <font>
      <sz val="10"/>
      <color rgb="FF000000"/>
      <name val="Arial"/>
      <family val="2"/>
      <charset val="204"/>
    </font>
    <font>
      <sz val="10"/>
      <name val="Arial"/>
      <family val="2"/>
      <charset val="204"/>
    </font>
    <font>
      <sz val="11"/>
      <name val="Calibri"/>
      <family val="2"/>
      <charset val="204"/>
      <scheme val="minor"/>
    </font>
    <font>
      <b/>
      <sz val="11"/>
      <color theme="1"/>
      <name val="Calibri"/>
      <family val="2"/>
      <charset val="204"/>
      <scheme val="minor"/>
    </font>
    <font>
      <b/>
      <sz val="10"/>
      <color rgb="FF2E74B5"/>
      <name val="Arial Narrow"/>
      <family val="2"/>
      <charset val="204"/>
    </font>
    <font>
      <b/>
      <sz val="11"/>
      <name val="Calibri"/>
      <family val="2"/>
      <charset val="204"/>
      <scheme val="minor"/>
    </font>
    <font>
      <sz val="10"/>
      <color rgb="FFB94A48"/>
      <name val="Arial"/>
      <family val="2"/>
      <charset val="204"/>
    </font>
    <font>
      <sz val="10"/>
      <color rgb="FF2E74B5"/>
      <name val="Arial Narrow"/>
      <family val="2"/>
      <charset val="204"/>
    </font>
  </fonts>
  <fills count="2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4" tint="-0.249977111117893"/>
        <bgColor indexed="64"/>
      </patternFill>
    </fill>
    <fill>
      <patternFill patternType="solid">
        <fgColor theme="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00B050"/>
        <bgColor indexed="64"/>
      </patternFill>
    </fill>
  </fills>
  <borders count="1">
    <border>
      <left/>
      <right/>
      <top/>
      <bottom/>
      <diagonal/>
    </border>
  </borders>
  <cellStyleXfs count="16">
    <xf numFmtId="0" fontId="0" fillId="0" borderId="0"/>
    <xf numFmtId="0" fontId="1" fillId="0" borderId="0" applyNumberFormat="0" applyFill="0" applyBorder="0" applyAlignment="0" applyProtection="0"/>
    <xf numFmtId="0" fontId="2" fillId="0" borderId="0"/>
    <xf numFmtId="0" fontId="3" fillId="0" borderId="0"/>
    <xf numFmtId="0" fontId="1" fillId="0" borderId="0" applyNumberFormat="0" applyFill="0" applyBorder="0" applyAlignment="0" applyProtection="0"/>
    <xf numFmtId="0" fontId="5" fillId="0" borderId="0"/>
    <xf numFmtId="0" fontId="6" fillId="0" borderId="0"/>
    <xf numFmtId="0" fontId="7" fillId="0" borderId="0"/>
    <xf numFmtId="0" fontId="4" fillId="0" borderId="0"/>
    <xf numFmtId="0" fontId="3" fillId="0" borderId="0"/>
    <xf numFmtId="0" fontId="8" fillId="0" borderId="0"/>
    <xf numFmtId="0" fontId="9" fillId="0" borderId="0"/>
    <xf numFmtId="0" fontId="10" fillId="0" borderId="0"/>
    <xf numFmtId="0" fontId="11" fillId="0" borderId="0"/>
    <xf numFmtId="0" fontId="12" fillId="0" borderId="0" applyNumberFormat="0" applyFill="0" applyBorder="0" applyAlignment="0" applyProtection="0"/>
    <xf numFmtId="0" fontId="1" fillId="0" borderId="0" applyNumberFormat="0" applyFill="0" applyBorder="0" applyAlignment="0" applyProtection="0"/>
  </cellStyleXfs>
  <cellXfs count="198">
    <xf numFmtId="0" fontId="0" fillId="0" borderId="0" xfId="0"/>
    <xf numFmtId="0" fontId="1" fillId="0" borderId="0" xfId="0" applyFont="1"/>
    <xf numFmtId="0" fontId="12" fillId="0" borderId="0" xfId="14" applyFill="1" applyBorder="1" applyAlignment="1" applyProtection="1"/>
    <xf numFmtId="1" fontId="1" fillId="0" borderId="0" xfId="0" applyNumberFormat="1" applyFont="1"/>
    <xf numFmtId="0" fontId="14" fillId="0" borderId="0" xfId="0" applyFont="1"/>
    <xf numFmtId="0" fontId="1" fillId="0" borderId="0" xfId="14" applyFont="1" applyFill="1" applyBorder="1" applyAlignment="1" applyProtection="1"/>
    <xf numFmtId="0" fontId="3"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xf>
    <xf numFmtId="0" fontId="3" fillId="5" borderId="0" xfId="0" applyFont="1" applyFill="1" applyAlignment="1">
      <alignment horizontal="left" vertical="top"/>
    </xf>
    <xf numFmtId="0" fontId="5" fillId="5" borderId="0" xfId="0" applyFont="1" applyFill="1" applyAlignment="1">
      <alignment horizontal="left" vertical="top"/>
    </xf>
    <xf numFmtId="0" fontId="3" fillId="4" borderId="0" xfId="0" applyFont="1" applyFill="1" applyAlignment="1">
      <alignment horizontal="left" vertical="top"/>
    </xf>
    <xf numFmtId="0" fontId="5" fillId="4" borderId="0" xfId="0" applyFont="1" applyFill="1" applyAlignment="1">
      <alignment horizontal="left" vertical="top"/>
    </xf>
    <xf numFmtId="0" fontId="21" fillId="0" borderId="0" xfId="0" applyFont="1" applyAlignment="1">
      <alignment horizontal="left" vertical="top"/>
    </xf>
    <xf numFmtId="0" fontId="22" fillId="0" borderId="0" xfId="0" applyFont="1" applyAlignment="1">
      <alignment horizontal="left" vertical="top"/>
    </xf>
    <xf numFmtId="0" fontId="3" fillId="0" borderId="0" xfId="2" applyFont="1" applyAlignment="1">
      <alignment horizontal="left" vertical="top"/>
    </xf>
    <xf numFmtId="0" fontId="3" fillId="3" borderId="0" xfId="0" applyFont="1" applyFill="1" applyAlignment="1">
      <alignment horizontal="left" vertical="top"/>
    </xf>
    <xf numFmtId="0" fontId="3" fillId="5" borderId="0" xfId="2" applyFont="1" applyFill="1" applyAlignment="1">
      <alignment horizontal="left" vertical="top"/>
    </xf>
    <xf numFmtId="0" fontId="3" fillId="0" borderId="0" xfId="3" applyAlignment="1">
      <alignment horizontal="left" vertical="top"/>
    </xf>
    <xf numFmtId="0" fontId="3" fillId="5" borderId="0" xfId="3" applyFill="1" applyAlignment="1">
      <alignment horizontal="left" vertical="top"/>
    </xf>
    <xf numFmtId="0" fontId="3" fillId="0" borderId="0" xfId="9" applyAlignment="1">
      <alignment horizontal="left" vertical="top"/>
    </xf>
    <xf numFmtId="0" fontId="3" fillId="0" borderId="0" xfId="12" applyFont="1" applyAlignment="1">
      <alignment horizontal="left" vertical="top"/>
    </xf>
    <xf numFmtId="0" fontId="3" fillId="0" borderId="0" xfId="10" applyFont="1" applyAlignment="1">
      <alignment horizontal="left" vertical="top"/>
    </xf>
    <xf numFmtId="0" fontId="3" fillId="5" borderId="0" xfId="10" applyFont="1" applyFill="1" applyAlignment="1">
      <alignment horizontal="left" vertical="top"/>
    </xf>
    <xf numFmtId="0" fontId="18" fillId="0" borderId="0" xfId="0" applyFont="1" applyAlignment="1">
      <alignment horizontal="left" vertical="top"/>
    </xf>
    <xf numFmtId="0" fontId="3" fillId="9" borderId="0" xfId="0" applyFont="1" applyFill="1" applyAlignment="1">
      <alignment horizontal="left" vertical="top"/>
    </xf>
    <xf numFmtId="0" fontId="18" fillId="9" borderId="0" xfId="0" applyFont="1" applyFill="1" applyAlignment="1">
      <alignment horizontal="left" vertical="top"/>
    </xf>
    <xf numFmtId="0" fontId="19" fillId="0" borderId="0" xfId="0" applyFont="1" applyAlignment="1">
      <alignment horizontal="left" vertical="top"/>
    </xf>
    <xf numFmtId="0" fontId="3" fillId="10" borderId="0" xfId="0" applyFont="1" applyFill="1" applyAlignment="1">
      <alignment horizontal="left" vertical="top"/>
    </xf>
    <xf numFmtId="0" fontId="18" fillId="10" borderId="0" xfId="0" applyFont="1" applyFill="1" applyAlignment="1">
      <alignment horizontal="left" vertical="top"/>
    </xf>
    <xf numFmtId="0" fontId="3" fillId="7" borderId="0" xfId="0" applyFont="1" applyFill="1" applyAlignment="1">
      <alignment horizontal="left" vertical="top"/>
    </xf>
    <xf numFmtId="0" fontId="18" fillId="7" borderId="0" xfId="0" applyFont="1" applyFill="1" applyAlignment="1">
      <alignment horizontal="left" vertical="top"/>
    </xf>
    <xf numFmtId="0" fontId="5" fillId="7" borderId="0" xfId="0" applyFont="1" applyFill="1" applyAlignment="1">
      <alignment horizontal="left" vertical="top"/>
    </xf>
    <xf numFmtId="0" fontId="20" fillId="7" borderId="0" xfId="0" applyFont="1" applyFill="1" applyAlignment="1">
      <alignment horizontal="left" vertical="top"/>
    </xf>
    <xf numFmtId="0" fontId="25" fillId="6" borderId="0" xfId="0" applyFont="1" applyFill="1" applyAlignment="1">
      <alignment horizontal="left" vertical="top"/>
    </xf>
    <xf numFmtId="0" fontId="24" fillId="2" borderId="0" xfId="0" applyFont="1" applyFill="1" applyAlignment="1">
      <alignment horizontal="left" vertical="top"/>
    </xf>
    <xf numFmtId="0" fontId="20" fillId="0" borderId="0" xfId="0" applyFont="1" applyAlignment="1">
      <alignment horizontal="left" vertical="top"/>
    </xf>
    <xf numFmtId="0" fontId="3" fillId="0" borderId="0" xfId="1" applyFont="1" applyFill="1" applyBorder="1" applyAlignment="1" applyProtection="1">
      <alignment horizontal="left" vertical="top"/>
    </xf>
    <xf numFmtId="0" fontId="5" fillId="8" borderId="0" xfId="0" applyFont="1" applyFill="1" applyAlignment="1">
      <alignment horizontal="left" vertical="top"/>
    </xf>
    <xf numFmtId="0" fontId="28" fillId="0" borderId="0" xfId="0" applyFont="1" applyAlignment="1">
      <alignment horizontal="left" vertical="top"/>
    </xf>
    <xf numFmtId="0" fontId="3" fillId="2" borderId="0" xfId="0" applyFont="1" applyFill="1" applyAlignment="1">
      <alignment horizontal="left" vertical="top"/>
    </xf>
    <xf numFmtId="0" fontId="34" fillId="11" borderId="0" xfId="0" applyFont="1" applyFill="1" applyAlignment="1">
      <alignment horizontal="left" vertical="top"/>
    </xf>
    <xf numFmtId="0" fontId="37" fillId="12" borderId="0" xfId="0" applyFont="1" applyFill="1" applyAlignment="1">
      <alignment horizontal="left" vertical="top"/>
    </xf>
    <xf numFmtId="0" fontId="34" fillId="12" borderId="0" xfId="0" applyFont="1" applyFill="1" applyAlignment="1">
      <alignment horizontal="left" vertical="top"/>
    </xf>
    <xf numFmtId="0" fontId="18" fillId="0" borderId="0" xfId="0" quotePrefix="1" applyFont="1" applyAlignment="1">
      <alignment horizontal="left" vertical="top"/>
    </xf>
    <xf numFmtId="0" fontId="3" fillId="13" borderId="0" xfId="0" applyFont="1" applyFill="1" applyAlignment="1">
      <alignment horizontal="left" vertical="top"/>
    </xf>
    <xf numFmtId="0" fontId="5" fillId="13" borderId="0" xfId="0" applyFont="1" applyFill="1" applyAlignment="1">
      <alignment horizontal="left" vertical="top"/>
    </xf>
    <xf numFmtId="0" fontId="20" fillId="13" borderId="0" xfId="0" applyFont="1" applyFill="1" applyAlignment="1">
      <alignment horizontal="left" vertical="top"/>
    </xf>
    <xf numFmtId="0" fontId="18" fillId="13" borderId="0" xfId="0" applyFont="1" applyFill="1" applyAlignment="1">
      <alignment horizontal="left" vertical="top"/>
    </xf>
    <xf numFmtId="0" fontId="39" fillId="6" borderId="0" xfId="0" applyFont="1" applyFill="1" applyAlignment="1">
      <alignment horizontal="left" vertical="top"/>
    </xf>
    <xf numFmtId="0" fontId="14" fillId="0" borderId="0" xfId="0" applyFont="1" applyAlignment="1">
      <alignment horizontal="left" vertical="top"/>
    </xf>
    <xf numFmtId="0" fontId="41" fillId="0" borderId="0" xfId="0" applyFont="1" applyAlignment="1">
      <alignment horizontal="left" vertical="top"/>
    </xf>
    <xf numFmtId="0" fontId="42" fillId="0" borderId="0" xfId="0" applyFont="1" applyAlignment="1">
      <alignment horizontal="left" vertical="top"/>
    </xf>
    <xf numFmtId="0" fontId="24" fillId="14" borderId="0" xfId="0" applyFont="1" applyFill="1" applyAlignment="1">
      <alignment horizontal="left" vertical="top"/>
    </xf>
    <xf numFmtId="0" fontId="43" fillId="0" borderId="0" xfId="0" applyFont="1" applyAlignment="1">
      <alignment horizontal="left"/>
    </xf>
    <xf numFmtId="0" fontId="1" fillId="0" borderId="0" xfId="0" applyFont="1" applyAlignment="1">
      <alignment horizontal="left"/>
    </xf>
    <xf numFmtId="0" fontId="3" fillId="15" borderId="0" xfId="0" applyFont="1" applyFill="1" applyAlignment="1">
      <alignment horizontal="left" vertical="top"/>
    </xf>
    <xf numFmtId="0" fontId="5" fillId="15" borderId="0" xfId="0" applyFont="1" applyFill="1" applyAlignment="1">
      <alignment horizontal="left" vertical="top"/>
    </xf>
    <xf numFmtId="0" fontId="3" fillId="0" borderId="0" xfId="0" applyFont="1" applyAlignment="1">
      <alignment horizontal="center" vertical="center"/>
    </xf>
    <xf numFmtId="0" fontId="3" fillId="0" borderId="0" xfId="0" applyFont="1" applyAlignment="1">
      <alignment horizontal="left" vertical="center"/>
    </xf>
    <xf numFmtId="0" fontId="0" fillId="0" borderId="0" xfId="0" applyAlignment="1">
      <alignment horizontal="left" vertical="center"/>
    </xf>
    <xf numFmtId="0" fontId="5" fillId="17" borderId="0" xfId="0" applyFont="1" applyFill="1" applyAlignment="1">
      <alignment horizontal="left" vertical="top"/>
    </xf>
    <xf numFmtId="0" fontId="5" fillId="3" borderId="0" xfId="0" applyFont="1" applyFill="1" applyAlignment="1">
      <alignment horizontal="left" vertical="top"/>
    </xf>
    <xf numFmtId="49" fontId="3" fillId="0" borderId="0" xfId="0" applyNumberFormat="1" applyFont="1" applyAlignment="1">
      <alignment horizontal="left" vertical="top"/>
    </xf>
    <xf numFmtId="0" fontId="23" fillId="2" borderId="0" xfId="0" applyFont="1" applyFill="1" applyAlignment="1">
      <alignment horizontal="left" vertical="top"/>
    </xf>
    <xf numFmtId="0" fontId="22" fillId="2" borderId="0" xfId="0" applyFont="1" applyFill="1" applyAlignment="1">
      <alignment horizontal="left" vertical="top"/>
    </xf>
    <xf numFmtId="0" fontId="24" fillId="18" borderId="0" xfId="0" applyFont="1" applyFill="1" applyAlignment="1">
      <alignment horizontal="left" vertical="top"/>
    </xf>
    <xf numFmtId="0" fontId="5" fillId="18" borderId="0" xfId="0" applyFont="1" applyFill="1" applyAlignment="1">
      <alignment horizontal="left" vertical="top"/>
    </xf>
    <xf numFmtId="0" fontId="37" fillId="18" borderId="0" xfId="0" applyFont="1" applyFill="1" applyAlignment="1">
      <alignment horizontal="left" vertical="top"/>
    </xf>
    <xf numFmtId="0" fontId="34" fillId="18" borderId="0" xfId="0" applyFont="1" applyFill="1" applyAlignment="1">
      <alignment horizontal="left" vertical="top"/>
    </xf>
    <xf numFmtId="0" fontId="3" fillId="18" borderId="0" xfId="0" applyFont="1" applyFill="1" applyAlignment="1">
      <alignment horizontal="left" vertical="top"/>
    </xf>
    <xf numFmtId="0" fontId="43" fillId="18" borderId="0" xfId="0" applyFont="1" applyFill="1" applyAlignment="1">
      <alignment horizontal="left"/>
    </xf>
    <xf numFmtId="0" fontId="1" fillId="18" borderId="0" xfId="0" applyFont="1" applyFill="1" applyAlignment="1">
      <alignment horizontal="left"/>
    </xf>
    <xf numFmtId="0" fontId="5" fillId="19" borderId="0" xfId="0" applyFont="1" applyFill="1" applyAlignment="1">
      <alignment horizontal="left" vertical="top"/>
    </xf>
    <xf numFmtId="0" fontId="5" fillId="20" borderId="0" xfId="0" applyFont="1" applyFill="1" applyAlignment="1">
      <alignment horizontal="left" vertical="top"/>
    </xf>
    <xf numFmtId="0" fontId="43" fillId="3" borderId="0" xfId="0" applyFont="1" applyFill="1" applyAlignment="1">
      <alignment horizontal="left"/>
    </xf>
    <xf numFmtId="0" fontId="26" fillId="6" borderId="0" xfId="0" applyFont="1" applyFill="1" applyAlignment="1">
      <alignment horizontal="left" vertical="top"/>
    </xf>
    <xf numFmtId="0" fontId="35" fillId="11" borderId="0" xfId="0" applyFont="1" applyFill="1" applyAlignment="1">
      <alignment horizontal="left" vertical="top"/>
    </xf>
    <xf numFmtId="0" fontId="19" fillId="7" borderId="0" xfId="0" applyFont="1" applyFill="1" applyAlignment="1">
      <alignment horizontal="left" vertical="top"/>
    </xf>
    <xf numFmtId="0" fontId="18" fillId="0" borderId="0" xfId="1" applyFont="1" applyFill="1" applyBorder="1" applyAlignment="1" applyProtection="1">
      <alignment horizontal="left" vertical="top"/>
    </xf>
    <xf numFmtId="0" fontId="5" fillId="0" borderId="0" xfId="1" applyFont="1" applyFill="1" applyBorder="1" applyAlignment="1" applyProtection="1"/>
    <xf numFmtId="0" fontId="29" fillId="0" borderId="0" xfId="0" applyFont="1" applyAlignment="1">
      <alignment horizontal="left" vertical="top"/>
    </xf>
    <xf numFmtId="0" fontId="18" fillId="3" borderId="0" xfId="0" applyFont="1" applyFill="1" applyAlignment="1">
      <alignment horizontal="left" vertical="top"/>
    </xf>
    <xf numFmtId="0" fontId="36" fillId="2" borderId="0" xfId="0" applyFont="1" applyFill="1" applyAlignment="1">
      <alignment horizontal="left" vertical="top"/>
    </xf>
    <xf numFmtId="0" fontId="35" fillId="12" borderId="0" xfId="0" applyFont="1" applyFill="1" applyAlignment="1">
      <alignment horizontal="left" vertical="top"/>
    </xf>
    <xf numFmtId="0" fontId="38" fillId="12" borderId="0" xfId="0" applyFont="1" applyFill="1" applyAlignment="1">
      <alignment horizontal="left" vertical="top"/>
    </xf>
    <xf numFmtId="0" fontId="18" fillId="15" borderId="0" xfId="0" applyFont="1" applyFill="1" applyAlignment="1">
      <alignment horizontal="left" vertical="top"/>
    </xf>
    <xf numFmtId="0" fontId="18" fillId="2" borderId="0" xfId="0" applyFont="1" applyFill="1" applyAlignment="1">
      <alignment horizontal="left" vertical="top"/>
    </xf>
    <xf numFmtId="0" fontId="21" fillId="13" borderId="0" xfId="0" applyFont="1" applyFill="1" applyAlignment="1">
      <alignment horizontal="left" vertical="top"/>
    </xf>
    <xf numFmtId="0" fontId="3" fillId="8" borderId="0" xfId="0" applyFont="1" applyFill="1" applyAlignment="1">
      <alignment horizontal="left" vertical="top"/>
    </xf>
    <xf numFmtId="0" fontId="18" fillId="8" borderId="0" xfId="0" applyFont="1" applyFill="1" applyAlignment="1">
      <alignment horizontal="left" vertical="top"/>
    </xf>
    <xf numFmtId="0" fontId="3" fillId="17" borderId="0" xfId="0" applyFont="1" applyFill="1" applyAlignment="1">
      <alignment horizontal="left" vertical="top"/>
    </xf>
    <xf numFmtId="0" fontId="18" fillId="17" borderId="0" xfId="0" applyFont="1" applyFill="1" applyAlignment="1">
      <alignment horizontal="left" vertical="top"/>
    </xf>
    <xf numFmtId="0" fontId="22" fillId="18" borderId="0" xfId="0" applyFont="1" applyFill="1" applyAlignment="1">
      <alignment horizontal="left" vertical="top"/>
    </xf>
    <xf numFmtId="0" fontId="23" fillId="18" borderId="0" xfId="0" applyFont="1" applyFill="1" applyAlignment="1">
      <alignment horizontal="left" vertical="top"/>
    </xf>
    <xf numFmtId="0" fontId="18" fillId="18" borderId="0" xfId="0" applyFont="1" applyFill="1" applyAlignment="1">
      <alignment horizontal="left" vertical="top"/>
    </xf>
    <xf numFmtId="0" fontId="35" fillId="18" borderId="0" xfId="0" applyFont="1" applyFill="1" applyAlignment="1">
      <alignment horizontal="left" vertical="top"/>
    </xf>
    <xf numFmtId="0" fontId="19" fillId="18" borderId="0" xfId="0" applyFont="1" applyFill="1" applyAlignment="1">
      <alignment horizontal="left" vertical="top"/>
    </xf>
    <xf numFmtId="0" fontId="38" fillId="18" borderId="0" xfId="0" applyFont="1" applyFill="1" applyAlignment="1">
      <alignment horizontal="left" vertical="top"/>
    </xf>
    <xf numFmtId="0" fontId="3" fillId="20" borderId="0" xfId="0" applyFont="1" applyFill="1" applyAlignment="1">
      <alignment horizontal="left" vertical="top"/>
    </xf>
    <xf numFmtId="0" fontId="18" fillId="20" borderId="0" xfId="0" applyFont="1" applyFill="1" applyAlignment="1">
      <alignment horizontal="left" vertical="top"/>
    </xf>
    <xf numFmtId="0" fontId="3" fillId="19" borderId="0" xfId="0" applyFont="1" applyFill="1" applyAlignment="1">
      <alignment horizontal="left" vertical="top"/>
    </xf>
    <xf numFmtId="0" fontId="18" fillId="19" borderId="0" xfId="0" applyFont="1" applyFill="1" applyAlignment="1">
      <alignment horizontal="left" vertical="top"/>
    </xf>
    <xf numFmtId="0" fontId="27" fillId="0" borderId="0" xfId="0" applyFont="1"/>
    <xf numFmtId="0" fontId="5" fillId="0" borderId="0" xfId="0" applyFont="1"/>
    <xf numFmtId="0" fontId="24" fillId="0" borderId="0" xfId="0" applyFont="1"/>
    <xf numFmtId="0" fontId="5" fillId="3" borderId="0" xfId="0" applyFont="1" applyFill="1"/>
    <xf numFmtId="0" fontId="0" fillId="3" borderId="0" xfId="0" applyFill="1"/>
    <xf numFmtId="0" fontId="17" fillId="0" borderId="0" xfId="0" applyFont="1"/>
    <xf numFmtId="0" fontId="0" fillId="15" borderId="0" xfId="0" applyFill="1"/>
    <xf numFmtId="0" fontId="0" fillId="16" borderId="0" xfId="0" applyFill="1"/>
    <xf numFmtId="0" fontId="5" fillId="15" borderId="0" xfId="0" applyFont="1" applyFill="1"/>
    <xf numFmtId="0" fontId="5" fillId="17" borderId="0" xfId="0" applyFont="1" applyFill="1"/>
    <xf numFmtId="0" fontId="43" fillId="0" borderId="0" xfId="0" applyFont="1"/>
    <xf numFmtId="0" fontId="43" fillId="3" borderId="0" xfId="0" applyFont="1" applyFill="1"/>
    <xf numFmtId="0" fontId="5" fillId="18" borderId="0" xfId="0" applyFont="1" applyFill="1"/>
    <xf numFmtId="0" fontId="43" fillId="18" borderId="0" xfId="0" applyFont="1" applyFill="1"/>
    <xf numFmtId="0" fontId="1" fillId="18" borderId="0" xfId="0" applyFont="1" applyFill="1"/>
    <xf numFmtId="0" fontId="0" fillId="18" borderId="0" xfId="0" applyFill="1"/>
    <xf numFmtId="0" fontId="5" fillId="20" borderId="0" xfId="0" applyFont="1" applyFill="1"/>
    <xf numFmtId="0" fontId="5" fillId="19" borderId="0" xfId="0" applyFont="1" applyFill="1"/>
    <xf numFmtId="49" fontId="3" fillId="18" borderId="0" xfId="0" applyNumberFormat="1" applyFont="1" applyFill="1" applyAlignment="1">
      <alignment horizontal="left" vertical="top"/>
    </xf>
    <xf numFmtId="0" fontId="24" fillId="21" borderId="0" xfId="0" applyFont="1" applyFill="1" applyAlignment="1">
      <alignment horizontal="left" vertical="top"/>
    </xf>
    <xf numFmtId="0" fontId="22" fillId="21" borderId="0" xfId="0" applyFont="1" applyFill="1" applyAlignment="1">
      <alignment horizontal="left" vertical="top"/>
    </xf>
    <xf numFmtId="0" fontId="23" fillId="21" borderId="0" xfId="0" applyFont="1" applyFill="1" applyAlignment="1">
      <alignment horizontal="left" vertical="top"/>
    </xf>
    <xf numFmtId="0" fontId="5" fillId="21" borderId="0" xfId="0" applyFont="1" applyFill="1"/>
    <xf numFmtId="0" fontId="5" fillId="21" borderId="0" xfId="0" applyFont="1" applyFill="1" applyAlignment="1">
      <alignment horizontal="left" vertical="top"/>
    </xf>
    <xf numFmtId="0" fontId="19" fillId="21" borderId="0" xfId="0" applyFont="1" applyFill="1" applyAlignment="1">
      <alignment horizontal="left" vertical="top"/>
    </xf>
    <xf numFmtId="0" fontId="3" fillId="21" borderId="0" xfId="0" applyFont="1" applyFill="1" applyAlignment="1">
      <alignment horizontal="left" vertical="top"/>
    </xf>
    <xf numFmtId="0" fontId="18" fillId="21" borderId="0" xfId="0" applyFont="1" applyFill="1" applyAlignment="1">
      <alignment horizontal="left" vertical="top"/>
    </xf>
    <xf numFmtId="0" fontId="0" fillId="21" borderId="0" xfId="0" applyFill="1"/>
    <xf numFmtId="16" fontId="0" fillId="21" borderId="0" xfId="0" applyNumberFormat="1" applyFill="1"/>
    <xf numFmtId="49" fontId="3" fillId="21" borderId="0" xfId="0" applyNumberFormat="1" applyFont="1" applyFill="1" applyAlignment="1">
      <alignment horizontal="left" vertical="top"/>
    </xf>
    <xf numFmtId="0" fontId="22" fillId="10" borderId="0" xfId="0" applyFont="1" applyFill="1" applyAlignment="1">
      <alignment horizontal="left" vertical="top"/>
    </xf>
    <xf numFmtId="0" fontId="23" fillId="10" borderId="0" xfId="0" applyFont="1" applyFill="1" applyAlignment="1">
      <alignment horizontal="left" vertical="top"/>
    </xf>
    <xf numFmtId="0" fontId="24" fillId="10" borderId="0" xfId="0" applyFont="1" applyFill="1" applyAlignment="1">
      <alignment horizontal="left" vertical="top"/>
    </xf>
    <xf numFmtId="0" fontId="24" fillId="10" borderId="0" xfId="0" applyFont="1" applyFill="1"/>
    <xf numFmtId="0" fontId="5" fillId="10" borderId="0" xfId="0" applyFont="1" applyFill="1" applyAlignment="1">
      <alignment horizontal="left" vertical="top"/>
    </xf>
    <xf numFmtId="0" fontId="5" fillId="10" borderId="0" xfId="0" applyFont="1" applyFill="1"/>
    <xf numFmtId="0" fontId="19" fillId="10" borderId="0" xfId="0" applyFont="1" applyFill="1" applyAlignment="1">
      <alignment horizontal="left" vertical="top"/>
    </xf>
    <xf numFmtId="0" fontId="34" fillId="10" borderId="0" xfId="0" applyFont="1" applyFill="1" applyAlignment="1">
      <alignment horizontal="left" vertical="top"/>
    </xf>
    <xf numFmtId="0" fontId="35" fillId="10" borderId="0" xfId="0" applyFont="1" applyFill="1" applyAlignment="1">
      <alignment horizontal="left" vertical="top"/>
    </xf>
    <xf numFmtId="0" fontId="37" fillId="10" borderId="0" xfId="0" applyFont="1" applyFill="1" applyAlignment="1">
      <alignment horizontal="left" vertical="top"/>
    </xf>
    <xf numFmtId="0" fontId="43" fillId="10" borderId="0" xfId="0" applyFont="1" applyFill="1"/>
    <xf numFmtId="0" fontId="43" fillId="10" borderId="0" xfId="0" applyFont="1" applyFill="1" applyAlignment="1">
      <alignment horizontal="left"/>
    </xf>
    <xf numFmtId="0" fontId="0" fillId="10" borderId="0" xfId="0" applyFill="1"/>
    <xf numFmtId="0" fontId="45" fillId="0" borderId="0" xfId="0" applyFont="1" applyAlignment="1">
      <alignment vertical="center"/>
    </xf>
    <xf numFmtId="0" fontId="5" fillId="11" borderId="0" xfId="0" applyFont="1" applyFill="1" applyAlignment="1">
      <alignment horizontal="left" vertical="top"/>
    </xf>
    <xf numFmtId="0" fontId="3" fillId="11" borderId="0" xfId="0" applyFont="1" applyFill="1" applyAlignment="1">
      <alignment horizontal="left" vertical="top"/>
    </xf>
    <xf numFmtId="0" fontId="46" fillId="2" borderId="0" xfId="0" applyFont="1" applyFill="1"/>
    <xf numFmtId="0" fontId="44" fillId="2" borderId="0" xfId="0" applyFont="1" applyFill="1"/>
    <xf numFmtId="0" fontId="44" fillId="2" borderId="0" xfId="0" applyFont="1" applyFill="1" applyAlignment="1">
      <alignment horizontal="left" vertical="top"/>
    </xf>
    <xf numFmtId="0" fontId="46" fillId="2" borderId="0" xfId="0" applyFont="1" applyFill="1" applyAlignment="1">
      <alignment horizontal="left" vertical="top"/>
    </xf>
    <xf numFmtId="0" fontId="5" fillId="0" borderId="0" xfId="0" applyFont="1" applyAlignment="1">
      <alignment horizontal="left" vertical="top" wrapText="1"/>
    </xf>
    <xf numFmtId="0" fontId="0" fillId="22" borderId="0" xfId="0" applyFill="1"/>
    <xf numFmtId="0" fontId="3" fillId="22" borderId="0" xfId="0" applyFont="1" applyFill="1" applyAlignment="1">
      <alignment horizontal="left" vertical="top"/>
    </xf>
    <xf numFmtId="0" fontId="5" fillId="22" borderId="0" xfId="0" applyFont="1" applyFill="1" applyAlignment="1">
      <alignment horizontal="left" vertical="top"/>
    </xf>
    <xf numFmtId="49" fontId="3" fillId="22" borderId="0" xfId="0" applyNumberFormat="1" applyFont="1" applyFill="1" applyAlignment="1">
      <alignment horizontal="left" vertical="top"/>
    </xf>
    <xf numFmtId="0" fontId="5" fillId="22" borderId="0" xfId="0" applyFont="1" applyFill="1"/>
    <xf numFmtId="0" fontId="18" fillId="22" borderId="0" xfId="0" applyFont="1" applyFill="1" applyAlignment="1">
      <alignment horizontal="left" vertical="top"/>
    </xf>
    <xf numFmtId="0" fontId="24" fillId="22" borderId="0" xfId="0" applyFont="1" applyFill="1" applyAlignment="1">
      <alignment horizontal="left" vertical="top"/>
    </xf>
    <xf numFmtId="0" fontId="22" fillId="22" borderId="0" xfId="0" applyFont="1" applyFill="1" applyAlignment="1">
      <alignment horizontal="left" vertical="top"/>
    </xf>
    <xf numFmtId="0" fontId="23" fillId="22" borderId="0" xfId="0" applyFont="1" applyFill="1" applyAlignment="1">
      <alignment horizontal="left" vertical="top"/>
    </xf>
    <xf numFmtId="0" fontId="21" fillId="22" borderId="0" xfId="0" applyFont="1" applyFill="1" applyAlignment="1">
      <alignment horizontal="left" vertical="top"/>
    </xf>
    <xf numFmtId="0" fontId="19" fillId="22" borderId="0" xfId="0" applyFont="1" applyFill="1" applyAlignment="1">
      <alignment horizontal="left" vertical="top"/>
    </xf>
    <xf numFmtId="0" fontId="43" fillId="22" borderId="0" xfId="0" applyFont="1" applyFill="1"/>
    <xf numFmtId="0" fontId="43" fillId="22" borderId="0" xfId="0" applyFont="1" applyFill="1" applyAlignment="1">
      <alignment horizontal="left"/>
    </xf>
    <xf numFmtId="0" fontId="3" fillId="22" borderId="0" xfId="1" applyFont="1" applyFill="1" applyBorder="1" applyAlignment="1" applyProtection="1">
      <alignment horizontal="left" vertical="top"/>
    </xf>
    <xf numFmtId="0" fontId="5" fillId="23" borderId="0" xfId="0" applyFont="1" applyFill="1" applyAlignment="1">
      <alignment horizontal="left" vertical="top"/>
    </xf>
    <xf numFmtId="0" fontId="19" fillId="23" borderId="0" xfId="0" applyFont="1" applyFill="1" applyAlignment="1">
      <alignment horizontal="left" vertical="top"/>
    </xf>
    <xf numFmtId="0" fontId="3" fillId="23" borderId="0" xfId="0" applyFont="1" applyFill="1" applyAlignment="1">
      <alignment horizontal="left" vertical="top"/>
    </xf>
    <xf numFmtId="0" fontId="18" fillId="23" borderId="0" xfId="0" applyFont="1" applyFill="1" applyAlignment="1">
      <alignment horizontal="left" vertical="top"/>
    </xf>
    <xf numFmtId="0" fontId="5" fillId="23" borderId="0" xfId="0" applyFont="1" applyFill="1"/>
    <xf numFmtId="0" fontId="0" fillId="23" borderId="0" xfId="0" applyFill="1"/>
    <xf numFmtId="49" fontId="3" fillId="23" borderId="0" xfId="0" applyNumberFormat="1" applyFont="1" applyFill="1" applyAlignment="1">
      <alignment horizontal="left" vertical="top"/>
    </xf>
    <xf numFmtId="0" fontId="47" fillId="23" borderId="0" xfId="0" applyFont="1" applyFill="1"/>
    <xf numFmtId="0" fontId="44" fillId="23" borderId="0" xfId="0" applyFont="1" applyFill="1"/>
    <xf numFmtId="0" fontId="45" fillId="0" borderId="0" xfId="0" applyFont="1"/>
    <xf numFmtId="0" fontId="48" fillId="0" borderId="0" xfId="0" applyFont="1"/>
    <xf numFmtId="0" fontId="3" fillId="24" borderId="0" xfId="0" applyFont="1" applyFill="1" applyAlignment="1">
      <alignment horizontal="left" vertical="top"/>
    </xf>
    <xf numFmtId="0" fontId="5" fillId="24" borderId="0" xfId="0" applyFont="1" applyFill="1" applyAlignment="1">
      <alignment horizontal="left" vertical="top"/>
    </xf>
    <xf numFmtId="0" fontId="45" fillId="24" borderId="0" xfId="0" applyFont="1" applyFill="1" applyAlignment="1">
      <alignment vertical="center"/>
    </xf>
    <xf numFmtId="0" fontId="19" fillId="24" borderId="0" xfId="0" applyFont="1" applyFill="1" applyAlignment="1">
      <alignment horizontal="left" vertical="top"/>
    </xf>
    <xf numFmtId="0" fontId="18" fillId="24" borderId="0" xfId="0" applyFont="1" applyFill="1" applyAlignment="1">
      <alignment horizontal="left" vertical="top"/>
    </xf>
    <xf numFmtId="0" fontId="5" fillId="24" borderId="0" xfId="0" applyFont="1" applyFill="1"/>
    <xf numFmtId="0" fontId="44" fillId="0" borderId="0" xfId="0" applyFont="1" applyFill="1"/>
    <xf numFmtId="0" fontId="5" fillId="0" borderId="0" xfId="0" applyFont="1" applyFill="1" applyAlignment="1">
      <alignment horizontal="left" vertical="top"/>
    </xf>
    <xf numFmtId="0" fontId="3" fillId="0" borderId="0" xfId="0" applyFont="1" applyFill="1" applyAlignment="1">
      <alignment horizontal="left" vertical="top"/>
    </xf>
    <xf numFmtId="0" fontId="18" fillId="0" borderId="0" xfId="0" applyFont="1" applyFill="1" applyAlignment="1">
      <alignment horizontal="left" vertical="top"/>
    </xf>
    <xf numFmtId="0" fontId="5" fillId="0" borderId="0" xfId="0" applyFont="1" applyFill="1"/>
    <xf numFmtId="0" fontId="0" fillId="0" borderId="0" xfId="0" applyFill="1"/>
    <xf numFmtId="49" fontId="3" fillId="0" borderId="0" xfId="0" applyNumberFormat="1" applyFont="1" applyFill="1" applyAlignment="1">
      <alignment horizontal="left" vertical="top"/>
    </xf>
    <xf numFmtId="0" fontId="47" fillId="0" borderId="0" xfId="0" applyFont="1" applyFill="1"/>
    <xf numFmtId="0" fontId="0" fillId="0" borderId="0" xfId="0" applyFill="1" applyAlignment="1">
      <alignment horizontal="left" vertical="top"/>
    </xf>
    <xf numFmtId="0" fontId="44" fillId="0" borderId="0" xfId="0" applyFont="1" applyFill="1" applyAlignment="1">
      <alignment horizontal="left" vertical="top"/>
    </xf>
    <xf numFmtId="0" fontId="46" fillId="0" borderId="0" xfId="0" applyFont="1" applyFill="1" applyAlignment="1">
      <alignment horizontal="left" vertical="top"/>
    </xf>
    <xf numFmtId="0" fontId="46" fillId="25" borderId="0" xfId="0" applyFont="1" applyFill="1"/>
    <xf numFmtId="0" fontId="44" fillId="25" borderId="0" xfId="0" applyFont="1" applyFill="1"/>
  </cellXfs>
  <cellStyles count="16">
    <cellStyle name="Normal 2 2" xfId="3" xr:uid="{00000000-0005-0000-0000-000000000000}"/>
    <cellStyle name="Normal 2 3" xfId="5" xr:uid="{00000000-0005-0000-0000-000001000000}"/>
    <cellStyle name="Normal 3 2" xfId="7" xr:uid="{00000000-0005-0000-0000-000002000000}"/>
    <cellStyle name="Normal_ENGLISH MIGRATION" xfId="9" xr:uid="{00000000-0005-0000-0000-000003000000}"/>
    <cellStyle name="Normal_Part E" xfId="2" xr:uid="{00000000-0005-0000-0000-000004000000}"/>
    <cellStyle name="Normal_qst2001_provisoire" xfId="12" xr:uid="{00000000-0005-0000-0000-000005000000}"/>
    <cellStyle name="Обычный" xfId="0" builtinId="0"/>
    <cellStyle name="Обычный 2" xfId="6" xr:uid="{00000000-0005-0000-0000-000007000000}"/>
    <cellStyle name="Обычный 3" xfId="8" xr:uid="{00000000-0005-0000-0000-000008000000}"/>
    <cellStyle name="Обычный 4" xfId="4" xr:uid="{00000000-0005-0000-0000-000009000000}"/>
    <cellStyle name="Обычный 5" xfId="1" xr:uid="{00000000-0005-0000-0000-00000A000000}"/>
    <cellStyle name="Обычный 6" xfId="10" xr:uid="{00000000-0005-0000-0000-00000B000000}"/>
    <cellStyle name="Обычный 7" xfId="11" xr:uid="{00000000-0005-0000-0000-00000C000000}"/>
    <cellStyle name="Обычный 8" xfId="13" xr:uid="{00000000-0005-0000-0000-00000D000000}"/>
    <cellStyle name="Обычный 9" xfId="14" xr:uid="{00000000-0005-0000-0000-00000E000000}"/>
    <cellStyle name="Обычный 9 2" xfId="15" xr:uid="{00000000-0005-0000-0000-00000F000000}"/>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123"/>
  <sheetViews>
    <sheetView tabSelected="1" zoomScale="85" zoomScaleNormal="85" workbookViewId="0">
      <pane ySplit="1" topLeftCell="A1009" activePane="bottomLeft" state="frozen"/>
      <selection activeCell="F1194" sqref="F1194"/>
      <selection pane="bottomLeft" activeCell="O964" sqref="O964"/>
    </sheetView>
  </sheetViews>
  <sheetFormatPr defaultColWidth="9.140625" defaultRowHeight="12.75" outlineLevelRow="1" x14ac:dyDescent="0.2"/>
  <cols>
    <col min="1" max="1" width="29.42578125" style="8" customWidth="1"/>
    <col min="2" max="2" width="18" style="8" bestFit="1" customWidth="1"/>
    <col min="3" max="3" width="23.140625" style="8" customWidth="1"/>
    <col min="4" max="4" width="8.7109375" style="27" customWidth="1"/>
    <col min="5" max="5" width="26.5703125" style="7" customWidth="1"/>
    <col min="6" max="6" width="21.140625" style="24" customWidth="1"/>
    <col min="7" max="7" width="19.28515625" style="7" customWidth="1"/>
    <col min="8" max="8" width="19.28515625" style="24" customWidth="1"/>
    <col min="9" max="9" width="12.42578125" style="8" customWidth="1"/>
    <col min="10" max="10" width="8.140625" style="8" customWidth="1"/>
    <col min="11" max="12" width="11.7109375" style="8" customWidth="1"/>
    <col min="13" max="13" width="8.5703125" style="8" customWidth="1"/>
    <col min="14" max="14" width="10.28515625" style="8" customWidth="1"/>
    <col min="15" max="15" width="21.7109375" style="8" customWidth="1"/>
    <col min="16" max="16" width="13.28515625" style="8" bestFit="1" customWidth="1"/>
    <col min="17" max="17" width="12.28515625" style="8" bestFit="1" customWidth="1"/>
    <col min="18" max="18" width="20.28515625" style="8" customWidth="1"/>
    <col min="19" max="19" width="10.42578125" style="8" bestFit="1" customWidth="1"/>
    <col min="20" max="16384" width="9.140625" style="104"/>
  </cols>
  <sheetData>
    <row r="1" spans="1:27" s="103" customFormat="1" ht="35.65" customHeight="1" x14ac:dyDescent="0.3">
      <c r="A1" s="34" t="s">
        <v>0</v>
      </c>
      <c r="B1" s="34" t="s">
        <v>1</v>
      </c>
      <c r="C1" s="34" t="s">
        <v>2</v>
      </c>
      <c r="D1" s="76" t="s">
        <v>3</v>
      </c>
      <c r="E1" s="34" t="s">
        <v>4</v>
      </c>
      <c r="F1" s="76" t="s">
        <v>5</v>
      </c>
      <c r="G1" s="34" t="s">
        <v>991</v>
      </c>
      <c r="H1" s="76" t="s">
        <v>992</v>
      </c>
      <c r="I1" s="34" t="s">
        <v>6</v>
      </c>
      <c r="J1" s="34" t="s">
        <v>7</v>
      </c>
      <c r="K1" s="34" t="s">
        <v>8</v>
      </c>
      <c r="L1" s="34" t="s">
        <v>9</v>
      </c>
      <c r="M1" s="34" t="s">
        <v>10</v>
      </c>
      <c r="N1" s="34" t="s">
        <v>11</v>
      </c>
      <c r="O1" s="34" t="s">
        <v>12</v>
      </c>
      <c r="P1" s="34" t="s">
        <v>13</v>
      </c>
      <c r="Q1" s="34" t="s">
        <v>14</v>
      </c>
      <c r="R1" s="34" t="s">
        <v>15</v>
      </c>
      <c r="S1" s="34" t="s">
        <v>985</v>
      </c>
    </row>
    <row r="2" spans="1:27" x14ac:dyDescent="0.2">
      <c r="A2" s="7"/>
      <c r="B2" s="7"/>
      <c r="C2" s="7"/>
      <c r="D2" s="24"/>
      <c r="I2" s="7"/>
      <c r="J2" s="7"/>
      <c r="K2" s="7"/>
      <c r="L2" s="7"/>
      <c r="M2" s="7"/>
      <c r="N2" s="7"/>
      <c r="O2" s="7"/>
      <c r="P2" s="7"/>
      <c r="Q2" s="7"/>
      <c r="R2" s="7"/>
      <c r="S2" s="7"/>
    </row>
    <row r="3" spans="1:27" s="105" customFormat="1" ht="18.75" x14ac:dyDescent="0.25">
      <c r="A3" s="65" t="s">
        <v>16</v>
      </c>
      <c r="B3" s="65" t="s">
        <v>2803</v>
      </c>
      <c r="C3" s="65" t="s">
        <v>1908</v>
      </c>
      <c r="D3" s="64"/>
      <c r="E3" s="65" t="s">
        <v>1909</v>
      </c>
      <c r="F3" s="64"/>
      <c r="G3" s="65" t="s">
        <v>1910</v>
      </c>
      <c r="H3" s="64"/>
      <c r="I3" s="65"/>
      <c r="J3" s="35"/>
      <c r="K3" s="35"/>
      <c r="L3" s="35"/>
      <c r="M3" s="35"/>
      <c r="N3" s="35"/>
      <c r="O3" s="35"/>
      <c r="P3" s="35"/>
      <c r="Q3" s="35"/>
      <c r="R3" s="35"/>
      <c r="S3" s="35"/>
    </row>
    <row r="4" spans="1:27" x14ac:dyDescent="0.2">
      <c r="A4" s="7" t="s">
        <v>18</v>
      </c>
      <c r="B4" s="7" t="s">
        <v>18</v>
      </c>
      <c r="C4" s="7" t="s">
        <v>18</v>
      </c>
      <c r="D4" s="24"/>
      <c r="I4" s="7"/>
      <c r="K4" s="7" t="s">
        <v>17</v>
      </c>
    </row>
    <row r="5" spans="1:27" x14ac:dyDescent="0.2">
      <c r="A5" s="7"/>
      <c r="B5" s="7"/>
      <c r="C5" s="7"/>
      <c r="D5" s="24"/>
      <c r="I5" s="7"/>
      <c r="K5" s="7"/>
    </row>
    <row r="6" spans="1:27" x14ac:dyDescent="0.2">
      <c r="A6" s="7" t="s">
        <v>19</v>
      </c>
      <c r="B6" s="7" t="s">
        <v>19</v>
      </c>
      <c r="C6" s="7" t="s">
        <v>19</v>
      </c>
      <c r="D6" s="24"/>
      <c r="I6" s="7"/>
      <c r="K6" s="7" t="s">
        <v>17</v>
      </c>
    </row>
    <row r="7" spans="1:27" x14ac:dyDescent="0.2">
      <c r="A7" s="7" t="s">
        <v>20</v>
      </c>
      <c r="B7" s="7" t="s">
        <v>20</v>
      </c>
      <c r="C7" s="7" t="s">
        <v>20</v>
      </c>
      <c r="D7" s="24"/>
      <c r="I7" s="7"/>
      <c r="K7" s="7" t="s">
        <v>17</v>
      </c>
    </row>
    <row r="8" spans="1:27" x14ac:dyDescent="0.2">
      <c r="A8" s="25" t="s">
        <v>3276</v>
      </c>
      <c r="B8" s="25" t="s">
        <v>3277</v>
      </c>
      <c r="C8" s="25" t="s">
        <v>3278</v>
      </c>
      <c r="D8" s="26"/>
      <c r="E8" s="25" t="s">
        <v>3279</v>
      </c>
      <c r="F8" s="26"/>
      <c r="G8" s="25" t="s">
        <v>3280</v>
      </c>
      <c r="H8" s="26"/>
      <c r="I8" s="25"/>
      <c r="J8" s="25"/>
      <c r="K8" s="25" t="s">
        <v>17</v>
      </c>
      <c r="L8" s="25"/>
      <c r="M8" s="25"/>
      <c r="N8" s="25"/>
      <c r="O8" s="25"/>
      <c r="P8" s="25"/>
      <c r="Q8" s="25"/>
      <c r="R8" s="25"/>
      <c r="S8" s="25"/>
    </row>
    <row r="9" spans="1:27" x14ac:dyDescent="0.2">
      <c r="A9" s="25" t="s">
        <v>21</v>
      </c>
      <c r="B9" s="25" t="s">
        <v>30</v>
      </c>
      <c r="C9" s="25" t="s">
        <v>3281</v>
      </c>
      <c r="D9" s="26"/>
      <c r="E9" s="25"/>
      <c r="F9" s="26"/>
      <c r="G9" s="25"/>
      <c r="H9" s="26"/>
      <c r="I9" s="25"/>
      <c r="J9" s="25"/>
      <c r="K9" s="25"/>
      <c r="L9" s="25"/>
      <c r="M9" s="25" t="s">
        <v>3282</v>
      </c>
      <c r="N9" s="25"/>
      <c r="O9" s="25"/>
      <c r="P9" s="25"/>
      <c r="Q9" s="25"/>
      <c r="R9" s="25"/>
      <c r="S9" s="25"/>
    </row>
    <row r="10" spans="1:27" x14ac:dyDescent="0.2">
      <c r="A10" s="25" t="s">
        <v>21</v>
      </c>
      <c r="B10" s="25" t="s">
        <v>3283</v>
      </c>
      <c r="C10" s="25"/>
      <c r="D10" s="26"/>
      <c r="E10" s="25"/>
      <c r="F10" s="26"/>
      <c r="G10" s="25"/>
      <c r="H10" s="26"/>
      <c r="I10" s="25"/>
      <c r="J10" s="25"/>
      <c r="K10" s="25"/>
      <c r="L10" s="25"/>
      <c r="M10" s="25" t="s">
        <v>3313</v>
      </c>
      <c r="N10" s="25"/>
      <c r="O10" s="25"/>
      <c r="P10" s="25"/>
      <c r="Q10" s="25"/>
      <c r="R10" s="25"/>
      <c r="S10" s="25"/>
    </row>
    <row r="11" spans="1:27" x14ac:dyDescent="0.2">
      <c r="A11" s="25" t="s">
        <v>21</v>
      </c>
      <c r="B11" s="25" t="s">
        <v>595</v>
      </c>
      <c r="C11" s="25"/>
      <c r="D11" s="26"/>
      <c r="E11" s="25"/>
      <c r="F11" s="26"/>
      <c r="G11" s="25"/>
      <c r="H11" s="26"/>
      <c r="I11" s="25"/>
      <c r="J11" s="25"/>
      <c r="K11" s="25"/>
      <c r="L11" s="25"/>
      <c r="M11" s="25" t="s">
        <v>3312</v>
      </c>
      <c r="N11" s="25"/>
      <c r="O11" s="25"/>
      <c r="P11" s="25"/>
      <c r="Q11" s="25"/>
      <c r="R11" s="25"/>
      <c r="S11" s="25"/>
    </row>
    <row r="12" spans="1:27" x14ac:dyDescent="0.2">
      <c r="A12" s="25" t="s">
        <v>21</v>
      </c>
      <c r="B12" s="25" t="s">
        <v>4402</v>
      </c>
      <c r="C12" s="25"/>
      <c r="D12" s="26"/>
      <c r="E12" s="25"/>
      <c r="F12" s="26"/>
      <c r="G12" s="25"/>
      <c r="H12" s="26"/>
      <c r="I12" s="25"/>
      <c r="J12" s="25"/>
      <c r="K12" s="25"/>
      <c r="L12" s="25"/>
      <c r="M12" s="25" t="s">
        <v>6245</v>
      </c>
      <c r="N12" s="25"/>
      <c r="O12" s="25"/>
      <c r="P12" s="25"/>
      <c r="Q12" s="25"/>
      <c r="R12" s="25"/>
      <c r="S12" s="25"/>
    </row>
    <row r="13" spans="1:27" x14ac:dyDescent="0.2">
      <c r="A13" s="7" t="s">
        <v>3256</v>
      </c>
      <c r="B13" s="7" t="s">
        <v>3257</v>
      </c>
      <c r="C13" s="7" t="s">
        <v>1872</v>
      </c>
      <c r="D13" s="24"/>
      <c r="E13" s="7" t="s">
        <v>27</v>
      </c>
      <c r="G13" s="7" t="s">
        <v>1862</v>
      </c>
      <c r="I13" s="7"/>
      <c r="J13" s="7"/>
      <c r="K13" s="7" t="s">
        <v>17</v>
      </c>
      <c r="L13" s="7"/>
      <c r="M13" s="7"/>
      <c r="N13" s="7"/>
      <c r="O13" s="7"/>
      <c r="P13" s="7"/>
      <c r="Q13" s="7"/>
      <c r="R13" s="7"/>
      <c r="S13" s="7"/>
    </row>
    <row r="14" spans="1:27" x14ac:dyDescent="0.2">
      <c r="A14" s="7" t="s">
        <v>22</v>
      </c>
      <c r="B14" s="7" t="s">
        <v>606</v>
      </c>
      <c r="C14" s="7" t="s">
        <v>1913</v>
      </c>
      <c r="D14" s="24"/>
      <c r="E14" s="7" t="s">
        <v>607</v>
      </c>
      <c r="G14" s="7" t="s">
        <v>3004</v>
      </c>
      <c r="I14" s="7"/>
      <c r="J14" s="7"/>
      <c r="K14" s="7"/>
      <c r="L14" s="7"/>
      <c r="M14" s="7"/>
      <c r="N14" s="7"/>
      <c r="O14" s="7"/>
      <c r="P14" s="7"/>
      <c r="Q14" s="7"/>
      <c r="R14" s="7"/>
      <c r="S14" s="7"/>
    </row>
    <row r="15" spans="1:27" x14ac:dyDescent="0.2">
      <c r="A15" s="7" t="s">
        <v>1886</v>
      </c>
      <c r="B15" s="7" t="s">
        <v>3095</v>
      </c>
      <c r="C15" s="7" t="s">
        <v>3096</v>
      </c>
      <c r="D15" s="24"/>
      <c r="E15" s="7" t="s">
        <v>3215</v>
      </c>
      <c r="G15" s="7" t="s">
        <v>3216</v>
      </c>
      <c r="I15" s="7"/>
      <c r="J15" s="7"/>
      <c r="K15" s="7" t="s">
        <v>3092</v>
      </c>
      <c r="L15" s="7"/>
      <c r="M15" s="7"/>
      <c r="N15" s="7"/>
      <c r="O15" s="7"/>
      <c r="P15" s="7"/>
      <c r="Q15" s="7"/>
      <c r="R15" s="7"/>
      <c r="S15" s="7"/>
      <c r="T15" s="8"/>
      <c r="U15" s="8"/>
      <c r="V15" s="8"/>
      <c r="W15" s="8"/>
      <c r="X15" s="8"/>
      <c r="Y15" s="8"/>
      <c r="Z15" s="8"/>
      <c r="AA15" s="8"/>
    </row>
    <row r="16" spans="1:27" x14ac:dyDescent="0.2">
      <c r="A16" s="7" t="s">
        <v>28</v>
      </c>
      <c r="B16" s="7" t="s">
        <v>3094</v>
      </c>
      <c r="C16" s="7" t="s">
        <v>3093</v>
      </c>
      <c r="D16" s="24"/>
      <c r="E16" s="7" t="s">
        <v>3220</v>
      </c>
      <c r="G16" s="7" t="s">
        <v>3219</v>
      </c>
      <c r="I16" s="7"/>
      <c r="J16" s="7"/>
      <c r="K16" s="7" t="s">
        <v>3092</v>
      </c>
      <c r="L16" s="7"/>
      <c r="M16" s="7"/>
      <c r="N16" s="7"/>
      <c r="O16" s="7" t="s">
        <v>3097</v>
      </c>
      <c r="P16" s="7"/>
      <c r="Q16" s="7"/>
      <c r="R16" s="7"/>
      <c r="S16" s="7"/>
    </row>
    <row r="17" spans="1:19" x14ac:dyDescent="0.2">
      <c r="A17" s="25" t="s">
        <v>21</v>
      </c>
      <c r="B17" s="25" t="s">
        <v>422</v>
      </c>
      <c r="C17" s="25"/>
      <c r="D17" s="26"/>
      <c r="E17" s="25"/>
      <c r="F17" s="26"/>
      <c r="G17" s="25"/>
      <c r="H17" s="26"/>
      <c r="I17" s="25"/>
      <c r="J17" s="25"/>
      <c r="K17" s="25"/>
      <c r="L17" s="25"/>
      <c r="M17" s="25" t="s">
        <v>6246</v>
      </c>
      <c r="N17" s="25"/>
      <c r="O17" s="25"/>
      <c r="P17" s="25"/>
      <c r="Q17" s="25"/>
      <c r="R17" s="25"/>
      <c r="S17" s="25"/>
    </row>
    <row r="18" spans="1:19" x14ac:dyDescent="0.2">
      <c r="A18" s="25" t="s">
        <v>21</v>
      </c>
      <c r="B18" s="25" t="s">
        <v>572</v>
      </c>
      <c r="C18" s="25"/>
      <c r="D18" s="26"/>
      <c r="E18" s="25"/>
      <c r="F18" s="26"/>
      <c r="G18" s="25"/>
      <c r="H18" s="26"/>
      <c r="I18" s="25"/>
      <c r="J18" s="25"/>
      <c r="K18" s="25"/>
      <c r="L18" s="25"/>
      <c r="M18" s="25" t="s">
        <v>6247</v>
      </c>
      <c r="N18" s="25"/>
      <c r="O18" s="25"/>
      <c r="P18" s="25"/>
      <c r="Q18" s="25"/>
      <c r="R18" s="25"/>
      <c r="S18" s="25"/>
    </row>
    <row r="19" spans="1:19" x14ac:dyDescent="0.2">
      <c r="A19" s="7" t="s">
        <v>22</v>
      </c>
      <c r="B19" s="7" t="s">
        <v>341</v>
      </c>
      <c r="C19" s="7" t="s">
        <v>343</v>
      </c>
      <c r="E19" s="7" t="s">
        <v>342</v>
      </c>
      <c r="G19" s="7" t="s">
        <v>1863</v>
      </c>
      <c r="K19" s="7" t="s">
        <v>17</v>
      </c>
      <c r="O19" s="8" t="s">
        <v>423</v>
      </c>
    </row>
    <row r="21" spans="1:19" x14ac:dyDescent="0.2">
      <c r="A21" s="7" t="s">
        <v>22</v>
      </c>
      <c r="B21" s="7" t="s">
        <v>433</v>
      </c>
      <c r="C21" s="7" t="s">
        <v>3005</v>
      </c>
      <c r="D21" s="24"/>
      <c r="E21" s="7" t="s">
        <v>1911</v>
      </c>
      <c r="G21" s="7" t="s">
        <v>1912</v>
      </c>
      <c r="I21" s="63"/>
      <c r="J21" s="7"/>
      <c r="K21" s="7"/>
      <c r="L21" s="7"/>
      <c r="M21" s="7"/>
      <c r="N21" s="7"/>
      <c r="O21" s="7"/>
      <c r="P21" s="7"/>
      <c r="Q21" s="7"/>
      <c r="R21" s="7"/>
      <c r="S21" s="7"/>
    </row>
    <row r="22" spans="1:19" x14ac:dyDescent="0.2">
      <c r="A22" s="7" t="s">
        <v>1886</v>
      </c>
      <c r="B22" s="7" t="s">
        <v>23</v>
      </c>
      <c r="C22" s="7" t="s">
        <v>24</v>
      </c>
      <c r="D22" s="24"/>
      <c r="E22" s="7" t="s">
        <v>25</v>
      </c>
      <c r="G22" s="7" t="s">
        <v>993</v>
      </c>
      <c r="I22" s="63"/>
      <c r="J22" s="7"/>
      <c r="K22" s="7" t="s">
        <v>17</v>
      </c>
      <c r="L22" s="7"/>
      <c r="M22" s="7"/>
      <c r="N22" s="7"/>
      <c r="O22" s="7"/>
      <c r="P22" s="7"/>
      <c r="Q22" s="7"/>
      <c r="R22" s="7"/>
      <c r="S22" s="7"/>
    </row>
    <row r="23" spans="1:19" x14ac:dyDescent="0.2">
      <c r="A23" s="25" t="s">
        <v>21</v>
      </c>
      <c r="B23" s="25" t="s">
        <v>3262</v>
      </c>
      <c r="C23" s="25"/>
      <c r="D23" s="26"/>
      <c r="E23" s="25"/>
      <c r="F23" s="26"/>
      <c r="G23" s="25"/>
      <c r="H23" s="26"/>
      <c r="I23" s="25"/>
      <c r="J23" s="25"/>
      <c r="K23" s="25"/>
      <c r="L23" s="25"/>
      <c r="M23" s="25" t="s">
        <v>566</v>
      </c>
      <c r="N23" s="25"/>
      <c r="O23" s="25"/>
      <c r="P23" s="25"/>
      <c r="Q23" s="25"/>
      <c r="R23" s="25"/>
      <c r="S23" s="25"/>
    </row>
    <row r="24" spans="1:19" x14ac:dyDescent="0.2">
      <c r="A24" s="7" t="s">
        <v>1888</v>
      </c>
      <c r="B24" s="7" t="s">
        <v>3089</v>
      </c>
      <c r="C24" s="7" t="s">
        <v>570</v>
      </c>
      <c r="D24" s="24"/>
      <c r="E24" s="7" t="s">
        <v>571</v>
      </c>
      <c r="G24" s="7" t="s">
        <v>994</v>
      </c>
      <c r="I24" s="63"/>
      <c r="J24" s="7"/>
      <c r="K24" s="7" t="s">
        <v>17</v>
      </c>
      <c r="L24" s="7"/>
      <c r="M24" s="7"/>
      <c r="N24" s="7"/>
      <c r="O24" s="7" t="s">
        <v>311</v>
      </c>
      <c r="P24" s="7"/>
      <c r="Q24" s="7"/>
      <c r="R24" s="7"/>
      <c r="S24" s="7"/>
    </row>
    <row r="25" spans="1:19" outlineLevel="1" x14ac:dyDescent="0.2"/>
    <row r="26" spans="1:19" outlineLevel="1" x14ac:dyDescent="0.2">
      <c r="A26" s="28" t="s">
        <v>21</v>
      </c>
      <c r="B26" s="28" t="s">
        <v>345</v>
      </c>
      <c r="C26" s="28"/>
      <c r="D26" s="29"/>
      <c r="E26" s="28"/>
      <c r="F26" s="29"/>
      <c r="G26" s="28"/>
      <c r="H26" s="29"/>
      <c r="I26" s="28"/>
      <c r="J26" s="28"/>
      <c r="K26" s="28"/>
      <c r="L26" s="28"/>
      <c r="M26" s="28" t="s">
        <v>6248</v>
      </c>
      <c r="N26" s="28"/>
      <c r="O26" s="28"/>
      <c r="P26" s="28"/>
      <c r="Q26" s="28"/>
      <c r="R26" s="28"/>
      <c r="S26" s="28"/>
    </row>
    <row r="27" spans="1:19" outlineLevel="1" x14ac:dyDescent="0.2">
      <c r="A27" s="28" t="s">
        <v>21</v>
      </c>
      <c r="B27" s="28" t="s">
        <v>346</v>
      </c>
      <c r="C27" s="28"/>
      <c r="D27" s="29"/>
      <c r="E27" s="28"/>
      <c r="F27" s="29"/>
      <c r="G27" s="28"/>
      <c r="H27" s="29"/>
      <c r="I27" s="28"/>
      <c r="J27" s="28"/>
      <c r="K27" s="28"/>
      <c r="L27" s="28"/>
      <c r="M27" s="28" t="s">
        <v>6249</v>
      </c>
      <c r="N27" s="28"/>
      <c r="O27" s="28"/>
      <c r="P27" s="28"/>
      <c r="Q27" s="28"/>
      <c r="R27" s="28"/>
      <c r="S27" s="28"/>
    </row>
    <row r="28" spans="1:19" outlineLevel="1" x14ac:dyDescent="0.2">
      <c r="A28" s="28" t="s">
        <v>21</v>
      </c>
      <c r="B28" s="28" t="s">
        <v>347</v>
      </c>
      <c r="C28" s="28"/>
      <c r="D28" s="29"/>
      <c r="E28" s="28"/>
      <c r="F28" s="29"/>
      <c r="G28" s="28"/>
      <c r="H28" s="29"/>
      <c r="I28" s="28"/>
      <c r="J28" s="28"/>
      <c r="K28" s="28"/>
      <c r="L28" s="28"/>
      <c r="M28" s="28" t="s">
        <v>6250</v>
      </c>
      <c r="N28" s="28"/>
      <c r="O28" s="28"/>
      <c r="P28" s="28"/>
      <c r="Q28" s="28"/>
      <c r="R28" s="28"/>
      <c r="S28" s="28"/>
    </row>
    <row r="29" spans="1:19" outlineLevel="1" x14ac:dyDescent="0.2">
      <c r="A29" s="28" t="s">
        <v>21</v>
      </c>
      <c r="B29" s="28" t="s">
        <v>348</v>
      </c>
      <c r="C29" s="28"/>
      <c r="D29" s="29"/>
      <c r="E29" s="28"/>
      <c r="F29" s="29"/>
      <c r="G29" s="28"/>
      <c r="H29" s="29"/>
      <c r="I29" s="28"/>
      <c r="J29" s="28"/>
      <c r="K29" s="28"/>
      <c r="L29" s="28"/>
      <c r="M29" s="28" t="s">
        <v>6251</v>
      </c>
      <c r="N29" s="28"/>
      <c r="O29" s="28"/>
      <c r="P29" s="28"/>
      <c r="Q29" s="28"/>
      <c r="R29" s="28"/>
      <c r="S29" s="28"/>
    </row>
    <row r="30" spans="1:19" outlineLevel="1" x14ac:dyDescent="0.2">
      <c r="A30" s="28" t="s">
        <v>21</v>
      </c>
      <c r="B30" s="28" t="s">
        <v>349</v>
      </c>
      <c r="C30" s="28"/>
      <c r="D30" s="29"/>
      <c r="E30" s="28"/>
      <c r="F30" s="29"/>
      <c r="G30" s="28"/>
      <c r="H30" s="29"/>
      <c r="I30" s="28"/>
      <c r="J30" s="28"/>
      <c r="K30" s="28"/>
      <c r="L30" s="28"/>
      <c r="M30" s="28" t="s">
        <v>6252</v>
      </c>
      <c r="N30" s="28"/>
      <c r="O30" s="28"/>
      <c r="P30" s="28"/>
      <c r="Q30" s="28"/>
      <c r="R30" s="28"/>
      <c r="S30" s="28"/>
    </row>
    <row r="31" spans="1:19" outlineLevel="1" x14ac:dyDescent="0.2">
      <c r="A31" s="28" t="s">
        <v>21</v>
      </c>
      <c r="B31" s="28" t="s">
        <v>350</v>
      </c>
      <c r="C31" s="28"/>
      <c r="D31" s="29"/>
      <c r="E31" s="28"/>
      <c r="F31" s="29"/>
      <c r="G31" s="28"/>
      <c r="H31" s="29"/>
      <c r="I31" s="28"/>
      <c r="J31" s="28"/>
      <c r="K31" s="28"/>
      <c r="L31" s="28"/>
      <c r="M31" s="28" t="s">
        <v>6253</v>
      </c>
      <c r="N31" s="28"/>
      <c r="O31" s="28"/>
      <c r="P31" s="28"/>
      <c r="Q31" s="28"/>
      <c r="R31" s="28"/>
      <c r="S31" s="28"/>
    </row>
    <row r="32" spans="1:19" outlineLevel="1" x14ac:dyDescent="0.2">
      <c r="A32" s="28" t="s">
        <v>21</v>
      </c>
      <c r="B32" s="28" t="s">
        <v>351</v>
      </c>
      <c r="C32" s="28"/>
      <c r="D32" s="29"/>
      <c r="E32" s="28"/>
      <c r="F32" s="29"/>
      <c r="G32" s="28"/>
      <c r="H32" s="29"/>
      <c r="I32" s="28"/>
      <c r="J32" s="28"/>
      <c r="K32" s="28"/>
      <c r="L32" s="28"/>
      <c r="M32" s="28" t="s">
        <v>6254</v>
      </c>
      <c r="N32" s="28"/>
      <c r="O32" s="28"/>
      <c r="P32" s="28"/>
      <c r="Q32" s="28"/>
      <c r="R32" s="28"/>
      <c r="S32" s="28"/>
    </row>
    <row r="33" spans="1:19" outlineLevel="1" x14ac:dyDescent="0.2">
      <c r="A33" s="28" t="s">
        <v>21</v>
      </c>
      <c r="B33" s="28" t="s">
        <v>352</v>
      </c>
      <c r="C33" s="28"/>
      <c r="D33" s="29"/>
      <c r="E33" s="28"/>
      <c r="F33" s="29"/>
      <c r="G33" s="28"/>
      <c r="H33" s="29"/>
      <c r="I33" s="28"/>
      <c r="J33" s="28"/>
      <c r="K33" s="28"/>
      <c r="L33" s="28"/>
      <c r="M33" s="28" t="s">
        <v>6255</v>
      </c>
      <c r="N33" s="28"/>
      <c r="O33" s="28"/>
      <c r="P33" s="28"/>
      <c r="Q33" s="28"/>
      <c r="R33" s="28"/>
      <c r="S33" s="28"/>
    </row>
    <row r="34" spans="1:19" outlineLevel="1" x14ac:dyDescent="0.2">
      <c r="A34" s="28" t="s">
        <v>21</v>
      </c>
      <c r="B34" s="28" t="s">
        <v>353</v>
      </c>
      <c r="C34" s="28"/>
      <c r="D34" s="29"/>
      <c r="E34" s="28"/>
      <c r="F34" s="29"/>
      <c r="G34" s="28"/>
      <c r="H34" s="29"/>
      <c r="I34" s="28"/>
      <c r="J34" s="28"/>
      <c r="K34" s="28"/>
      <c r="L34" s="28"/>
      <c r="M34" s="28" t="s">
        <v>6256</v>
      </c>
      <c r="N34" s="28"/>
      <c r="O34" s="28"/>
      <c r="P34" s="28"/>
      <c r="Q34" s="28"/>
      <c r="R34" s="28"/>
      <c r="S34" s="28"/>
    </row>
    <row r="35" spans="1:19" outlineLevel="1" x14ac:dyDescent="0.2">
      <c r="A35" s="28" t="s">
        <v>21</v>
      </c>
      <c r="B35" s="28" t="s">
        <v>354</v>
      </c>
      <c r="C35" s="28"/>
      <c r="D35" s="29"/>
      <c r="E35" s="28"/>
      <c r="F35" s="29"/>
      <c r="G35" s="28"/>
      <c r="H35" s="29"/>
      <c r="I35" s="28"/>
      <c r="J35" s="28"/>
      <c r="K35" s="28"/>
      <c r="L35" s="28"/>
      <c r="M35" s="28" t="s">
        <v>6257</v>
      </c>
      <c r="N35" s="28"/>
      <c r="O35" s="28"/>
      <c r="P35" s="28"/>
      <c r="Q35" s="28"/>
      <c r="R35" s="28"/>
      <c r="S35" s="28"/>
    </row>
    <row r="36" spans="1:19" outlineLevel="1" x14ac:dyDescent="0.2">
      <c r="A36" s="28" t="s">
        <v>21</v>
      </c>
      <c r="B36" s="28" t="s">
        <v>355</v>
      </c>
      <c r="C36" s="28"/>
      <c r="D36" s="29"/>
      <c r="E36" s="28"/>
      <c r="F36" s="29"/>
      <c r="G36" s="28"/>
      <c r="H36" s="29"/>
      <c r="I36" s="28"/>
      <c r="J36" s="28"/>
      <c r="K36" s="28"/>
      <c r="L36" s="28"/>
      <c r="M36" s="28" t="s">
        <v>6258</v>
      </c>
      <c r="N36" s="28"/>
      <c r="O36" s="28"/>
      <c r="P36" s="28"/>
      <c r="Q36" s="28"/>
      <c r="R36" s="28"/>
      <c r="S36" s="28"/>
    </row>
    <row r="37" spans="1:19" outlineLevel="1" x14ac:dyDescent="0.2">
      <c r="A37" s="28" t="s">
        <v>21</v>
      </c>
      <c r="B37" s="28" t="s">
        <v>356</v>
      </c>
      <c r="C37" s="28"/>
      <c r="D37" s="29"/>
      <c r="E37" s="28"/>
      <c r="F37" s="29"/>
      <c r="G37" s="28"/>
      <c r="H37" s="29"/>
      <c r="I37" s="28"/>
      <c r="J37" s="28"/>
      <c r="K37" s="28"/>
      <c r="L37" s="28"/>
      <c r="M37" s="28" t="s">
        <v>6259</v>
      </c>
      <c r="N37" s="28"/>
      <c r="O37" s="28"/>
      <c r="P37" s="28"/>
      <c r="Q37" s="28"/>
      <c r="R37" s="28"/>
      <c r="S37" s="28"/>
    </row>
    <row r="38" spans="1:19" outlineLevel="1" x14ac:dyDescent="0.2">
      <c r="A38" s="28" t="s">
        <v>21</v>
      </c>
      <c r="B38" s="28" t="s">
        <v>357</v>
      </c>
      <c r="C38" s="28"/>
      <c r="D38" s="29"/>
      <c r="E38" s="28"/>
      <c r="F38" s="29"/>
      <c r="G38" s="28"/>
      <c r="H38" s="29"/>
      <c r="I38" s="28"/>
      <c r="J38" s="28"/>
      <c r="K38" s="28"/>
      <c r="L38" s="28"/>
      <c r="M38" s="28" t="s">
        <v>6260</v>
      </c>
      <c r="N38" s="28"/>
      <c r="O38" s="28"/>
      <c r="P38" s="28"/>
      <c r="Q38" s="28"/>
      <c r="R38" s="28"/>
      <c r="S38" s="28"/>
    </row>
    <row r="39" spans="1:19" outlineLevel="1" x14ac:dyDescent="0.2">
      <c r="A39" s="28" t="s">
        <v>21</v>
      </c>
      <c r="B39" s="28" t="s">
        <v>358</v>
      </c>
      <c r="C39" s="28"/>
      <c r="D39" s="29"/>
      <c r="E39" s="28"/>
      <c r="F39" s="29"/>
      <c r="G39" s="28"/>
      <c r="H39" s="29"/>
      <c r="I39" s="28"/>
      <c r="J39" s="28"/>
      <c r="K39" s="28"/>
      <c r="L39" s="28"/>
      <c r="M39" s="28" t="s">
        <v>6261</v>
      </c>
      <c r="N39" s="28"/>
      <c r="O39" s="28"/>
      <c r="P39" s="28"/>
      <c r="Q39" s="28"/>
      <c r="R39" s="28"/>
      <c r="S39" s="28"/>
    </row>
    <row r="40" spans="1:19" outlineLevel="1" x14ac:dyDescent="0.2">
      <c r="A40" s="28" t="s">
        <v>21</v>
      </c>
      <c r="B40" s="28" t="s">
        <v>359</v>
      </c>
      <c r="C40" s="28"/>
      <c r="D40" s="29"/>
      <c r="E40" s="28"/>
      <c r="F40" s="29"/>
      <c r="G40" s="28"/>
      <c r="H40" s="29"/>
      <c r="I40" s="28"/>
      <c r="J40" s="28"/>
      <c r="K40" s="28"/>
      <c r="L40" s="28"/>
      <c r="M40" s="28" t="s">
        <v>6262</v>
      </c>
      <c r="N40" s="28"/>
      <c r="O40" s="28"/>
      <c r="P40" s="28"/>
      <c r="Q40" s="28"/>
      <c r="R40" s="28"/>
      <c r="S40" s="28"/>
    </row>
    <row r="41" spans="1:19" outlineLevel="1" x14ac:dyDescent="0.2">
      <c r="A41" s="28" t="s">
        <v>21</v>
      </c>
      <c r="B41" s="28" t="s">
        <v>497</v>
      </c>
      <c r="C41" s="28"/>
      <c r="D41" s="29"/>
      <c r="E41" s="28"/>
      <c r="F41" s="29"/>
      <c r="G41" s="28"/>
      <c r="H41" s="29"/>
      <c r="I41" s="28"/>
      <c r="J41" s="28"/>
      <c r="K41" s="28"/>
      <c r="L41" s="28"/>
      <c r="M41" s="28" t="s">
        <v>6263</v>
      </c>
      <c r="N41" s="28"/>
      <c r="O41" s="28"/>
      <c r="P41" s="28"/>
      <c r="Q41" s="28"/>
      <c r="R41" s="28"/>
      <c r="S41" s="28"/>
    </row>
    <row r="42" spans="1:19" outlineLevel="1" x14ac:dyDescent="0.2">
      <c r="A42" s="28" t="s">
        <v>21</v>
      </c>
      <c r="B42" s="28" t="s">
        <v>498</v>
      </c>
      <c r="C42" s="28"/>
      <c r="D42" s="29"/>
      <c r="E42" s="28"/>
      <c r="F42" s="29"/>
      <c r="G42" s="28"/>
      <c r="H42" s="29"/>
      <c r="I42" s="28"/>
      <c r="J42" s="28"/>
      <c r="K42" s="28"/>
      <c r="L42" s="28"/>
      <c r="M42" s="28" t="s">
        <v>6264</v>
      </c>
      <c r="N42" s="28"/>
      <c r="O42" s="28"/>
      <c r="P42" s="28"/>
      <c r="Q42" s="28"/>
      <c r="R42" s="28"/>
      <c r="S42" s="28"/>
    </row>
    <row r="43" spans="1:19" outlineLevel="1" x14ac:dyDescent="0.2">
      <c r="A43" s="28" t="s">
        <v>21</v>
      </c>
      <c r="B43" s="28" t="s">
        <v>499</v>
      </c>
      <c r="C43" s="28"/>
      <c r="D43" s="29"/>
      <c r="E43" s="28"/>
      <c r="F43" s="29"/>
      <c r="G43" s="28"/>
      <c r="H43" s="29"/>
      <c r="I43" s="28"/>
      <c r="J43" s="28"/>
      <c r="K43" s="28"/>
      <c r="L43" s="28"/>
      <c r="M43" s="28" t="s">
        <v>6265</v>
      </c>
      <c r="N43" s="28"/>
      <c r="O43" s="28"/>
      <c r="P43" s="28"/>
      <c r="Q43" s="28"/>
      <c r="R43" s="28"/>
      <c r="S43" s="28"/>
    </row>
    <row r="44" spans="1:19" outlineLevel="1" x14ac:dyDescent="0.2">
      <c r="A44" s="28" t="s">
        <v>21</v>
      </c>
      <c r="B44" s="28" t="s">
        <v>500</v>
      </c>
      <c r="C44" s="28"/>
      <c r="D44" s="29"/>
      <c r="E44" s="28"/>
      <c r="F44" s="29"/>
      <c r="G44" s="28"/>
      <c r="H44" s="29"/>
      <c r="I44" s="28"/>
      <c r="J44" s="28"/>
      <c r="K44" s="28"/>
      <c r="L44" s="28"/>
      <c r="M44" s="28" t="s">
        <v>6266</v>
      </c>
      <c r="N44" s="28"/>
      <c r="O44" s="28"/>
      <c r="P44" s="28"/>
      <c r="Q44" s="28"/>
      <c r="R44" s="28"/>
      <c r="S44" s="28"/>
    </row>
    <row r="45" spans="1:19" outlineLevel="1" x14ac:dyDescent="0.2">
      <c r="A45" s="28" t="s">
        <v>21</v>
      </c>
      <c r="B45" s="28" t="s">
        <v>501</v>
      </c>
      <c r="C45" s="28"/>
      <c r="D45" s="29"/>
      <c r="E45" s="28"/>
      <c r="F45" s="29"/>
      <c r="G45" s="28"/>
      <c r="H45" s="29"/>
      <c r="I45" s="28"/>
      <c r="J45" s="28"/>
      <c r="K45" s="28"/>
      <c r="L45" s="28"/>
      <c r="M45" s="28" t="s">
        <v>6267</v>
      </c>
      <c r="N45" s="28"/>
      <c r="O45" s="28"/>
      <c r="P45" s="28"/>
      <c r="Q45" s="28"/>
      <c r="R45" s="28"/>
      <c r="S45" s="28"/>
    </row>
    <row r="46" spans="1:19" outlineLevel="1" x14ac:dyDescent="0.2">
      <c r="A46" s="28" t="s">
        <v>21</v>
      </c>
      <c r="B46" s="28" t="s">
        <v>502</v>
      </c>
      <c r="C46" s="28"/>
      <c r="D46" s="29"/>
      <c r="E46" s="28"/>
      <c r="F46" s="29"/>
      <c r="G46" s="28"/>
      <c r="H46" s="29"/>
      <c r="I46" s="28"/>
      <c r="J46" s="28"/>
      <c r="K46" s="28"/>
      <c r="L46" s="28"/>
      <c r="M46" s="28" t="s">
        <v>6268</v>
      </c>
      <c r="N46" s="28"/>
      <c r="O46" s="28"/>
      <c r="P46" s="28"/>
      <c r="Q46" s="28"/>
      <c r="R46" s="28"/>
      <c r="S46" s="28"/>
    </row>
    <row r="47" spans="1:19" outlineLevel="1" x14ac:dyDescent="0.2">
      <c r="A47" s="28" t="s">
        <v>21</v>
      </c>
      <c r="B47" s="28" t="s">
        <v>503</v>
      </c>
      <c r="C47" s="28"/>
      <c r="D47" s="29"/>
      <c r="E47" s="28"/>
      <c r="F47" s="29"/>
      <c r="G47" s="28"/>
      <c r="H47" s="29"/>
      <c r="I47" s="28"/>
      <c r="J47" s="28"/>
      <c r="K47" s="28"/>
      <c r="L47" s="28"/>
      <c r="M47" s="28" t="s">
        <v>6269</v>
      </c>
      <c r="N47" s="28"/>
      <c r="O47" s="28"/>
      <c r="P47" s="28"/>
      <c r="Q47" s="28"/>
      <c r="R47" s="28"/>
      <c r="S47" s="28"/>
    </row>
    <row r="48" spans="1:19" outlineLevel="1" x14ac:dyDescent="0.2">
      <c r="A48" s="28" t="s">
        <v>21</v>
      </c>
      <c r="B48" s="28" t="s">
        <v>504</v>
      </c>
      <c r="C48" s="28"/>
      <c r="D48" s="29"/>
      <c r="E48" s="28"/>
      <c r="F48" s="29"/>
      <c r="G48" s="28"/>
      <c r="H48" s="29"/>
      <c r="I48" s="28"/>
      <c r="J48" s="28"/>
      <c r="K48" s="28"/>
      <c r="L48" s="28"/>
      <c r="M48" s="28" t="s">
        <v>6270</v>
      </c>
      <c r="N48" s="28"/>
      <c r="O48" s="28"/>
      <c r="P48" s="28"/>
      <c r="Q48" s="28"/>
      <c r="R48" s="28"/>
      <c r="S48" s="28"/>
    </row>
    <row r="49" spans="1:19" outlineLevel="1" x14ac:dyDescent="0.2">
      <c r="A49" s="28" t="s">
        <v>21</v>
      </c>
      <c r="B49" s="28" t="s">
        <v>505</v>
      </c>
      <c r="C49" s="28"/>
      <c r="D49" s="29"/>
      <c r="E49" s="28"/>
      <c r="F49" s="29"/>
      <c r="G49" s="28"/>
      <c r="H49" s="29"/>
      <c r="I49" s="28"/>
      <c r="J49" s="28"/>
      <c r="K49" s="28"/>
      <c r="L49" s="28"/>
      <c r="M49" s="28" t="s">
        <v>6271</v>
      </c>
      <c r="N49" s="28"/>
      <c r="O49" s="28"/>
      <c r="P49" s="28"/>
      <c r="Q49" s="28"/>
      <c r="R49" s="28"/>
      <c r="S49" s="28"/>
    </row>
    <row r="50" spans="1:19" outlineLevel="1" x14ac:dyDescent="0.2">
      <c r="A50" s="28" t="s">
        <v>21</v>
      </c>
      <c r="B50" s="28" t="s">
        <v>506</v>
      </c>
      <c r="C50" s="28"/>
      <c r="D50" s="29"/>
      <c r="E50" s="28"/>
      <c r="F50" s="29"/>
      <c r="G50" s="28"/>
      <c r="H50" s="29"/>
      <c r="I50" s="28"/>
      <c r="J50" s="28"/>
      <c r="K50" s="28"/>
      <c r="L50" s="28"/>
      <c r="M50" s="28" t="s">
        <v>6272</v>
      </c>
      <c r="N50" s="28"/>
      <c r="O50" s="28"/>
      <c r="P50" s="28"/>
      <c r="Q50" s="28"/>
      <c r="R50" s="28"/>
      <c r="S50" s="28"/>
    </row>
    <row r="51" spans="1:19" outlineLevel="1" x14ac:dyDescent="0.2"/>
    <row r="52" spans="1:19" outlineLevel="1" x14ac:dyDescent="0.2">
      <c r="A52" s="28" t="s">
        <v>21</v>
      </c>
      <c r="B52" s="28" t="s">
        <v>360</v>
      </c>
      <c r="C52" s="28"/>
      <c r="D52" s="29"/>
      <c r="E52" s="28"/>
      <c r="F52" s="29"/>
      <c r="G52" s="28"/>
      <c r="H52" s="29"/>
      <c r="I52" s="28"/>
      <c r="J52" s="28"/>
      <c r="K52" s="28"/>
      <c r="L52" s="28"/>
      <c r="M52" s="28" t="s">
        <v>6273</v>
      </c>
      <c r="N52" s="28"/>
      <c r="O52" s="28"/>
      <c r="P52" s="28"/>
      <c r="Q52" s="28"/>
      <c r="R52" s="28"/>
      <c r="S52" s="28"/>
    </row>
    <row r="53" spans="1:19" outlineLevel="1" x14ac:dyDescent="0.2">
      <c r="A53" s="28" t="s">
        <v>21</v>
      </c>
      <c r="B53" s="28" t="s">
        <v>361</v>
      </c>
      <c r="C53" s="28"/>
      <c r="D53" s="29"/>
      <c r="E53" s="28"/>
      <c r="F53" s="29"/>
      <c r="G53" s="28"/>
      <c r="H53" s="29"/>
      <c r="I53" s="28"/>
      <c r="J53" s="28"/>
      <c r="K53" s="28"/>
      <c r="L53" s="28"/>
      <c r="M53" s="28" t="s">
        <v>6274</v>
      </c>
      <c r="N53" s="28"/>
      <c r="O53" s="28"/>
      <c r="P53" s="28"/>
      <c r="Q53" s="28"/>
      <c r="R53" s="28"/>
      <c r="S53" s="28"/>
    </row>
    <row r="54" spans="1:19" outlineLevel="1" x14ac:dyDescent="0.2">
      <c r="A54" s="28" t="s">
        <v>21</v>
      </c>
      <c r="B54" s="28" t="s">
        <v>362</v>
      </c>
      <c r="C54" s="28"/>
      <c r="D54" s="29"/>
      <c r="E54" s="28"/>
      <c r="F54" s="29"/>
      <c r="G54" s="28"/>
      <c r="H54" s="29"/>
      <c r="I54" s="28"/>
      <c r="J54" s="28"/>
      <c r="K54" s="28"/>
      <c r="L54" s="28"/>
      <c r="M54" s="28" t="s">
        <v>6275</v>
      </c>
      <c r="N54" s="28"/>
      <c r="O54" s="28"/>
      <c r="P54" s="28"/>
      <c r="Q54" s="28"/>
      <c r="R54" s="28"/>
      <c r="S54" s="28"/>
    </row>
    <row r="55" spans="1:19" outlineLevel="1" x14ac:dyDescent="0.2">
      <c r="A55" s="28" t="s">
        <v>21</v>
      </c>
      <c r="B55" s="28" t="s">
        <v>363</v>
      </c>
      <c r="C55" s="28"/>
      <c r="D55" s="29"/>
      <c r="E55" s="28"/>
      <c r="F55" s="29"/>
      <c r="G55" s="28"/>
      <c r="H55" s="29"/>
      <c r="I55" s="28"/>
      <c r="J55" s="28"/>
      <c r="K55" s="28"/>
      <c r="L55" s="28"/>
      <c r="M55" s="28" t="s">
        <v>6276</v>
      </c>
      <c r="N55" s="28"/>
      <c r="O55" s="28"/>
      <c r="P55" s="28"/>
      <c r="Q55" s="28"/>
      <c r="R55" s="28"/>
      <c r="S55" s="28"/>
    </row>
    <row r="56" spans="1:19" outlineLevel="1" x14ac:dyDescent="0.2">
      <c r="A56" s="28" t="s">
        <v>21</v>
      </c>
      <c r="B56" s="28" t="s">
        <v>364</v>
      </c>
      <c r="C56" s="28"/>
      <c r="D56" s="29"/>
      <c r="E56" s="28"/>
      <c r="F56" s="29"/>
      <c r="G56" s="28"/>
      <c r="H56" s="29"/>
      <c r="I56" s="28"/>
      <c r="J56" s="28"/>
      <c r="K56" s="28"/>
      <c r="L56" s="28"/>
      <c r="M56" s="28" t="s">
        <v>6277</v>
      </c>
      <c r="N56" s="28"/>
      <c r="O56" s="28"/>
      <c r="P56" s="28"/>
      <c r="Q56" s="28"/>
      <c r="R56" s="28"/>
      <c r="S56" s="28"/>
    </row>
    <row r="57" spans="1:19" outlineLevel="1" x14ac:dyDescent="0.2">
      <c r="A57" s="28" t="s">
        <v>21</v>
      </c>
      <c r="B57" s="28" t="s">
        <v>365</v>
      </c>
      <c r="C57" s="28"/>
      <c r="D57" s="29"/>
      <c r="E57" s="28"/>
      <c r="F57" s="29"/>
      <c r="G57" s="28"/>
      <c r="H57" s="29"/>
      <c r="I57" s="28"/>
      <c r="J57" s="28"/>
      <c r="K57" s="28"/>
      <c r="L57" s="28"/>
      <c r="M57" s="28" t="s">
        <v>6278</v>
      </c>
      <c r="N57" s="28"/>
      <c r="O57" s="28"/>
      <c r="P57" s="28"/>
      <c r="Q57" s="28"/>
      <c r="R57" s="28"/>
      <c r="S57" s="28"/>
    </row>
    <row r="58" spans="1:19" outlineLevel="1" x14ac:dyDescent="0.2">
      <c r="A58" s="28" t="s">
        <v>21</v>
      </c>
      <c r="B58" s="28" t="s">
        <v>366</v>
      </c>
      <c r="C58" s="28"/>
      <c r="D58" s="29"/>
      <c r="E58" s="28"/>
      <c r="F58" s="29"/>
      <c r="G58" s="28"/>
      <c r="H58" s="29"/>
      <c r="I58" s="28"/>
      <c r="J58" s="28"/>
      <c r="K58" s="28"/>
      <c r="L58" s="28"/>
      <c r="M58" s="28" t="s">
        <v>6279</v>
      </c>
      <c r="N58" s="28"/>
      <c r="O58" s="28"/>
      <c r="P58" s="28"/>
      <c r="Q58" s="28"/>
      <c r="R58" s="28"/>
      <c r="S58" s="28"/>
    </row>
    <row r="59" spans="1:19" outlineLevel="1" x14ac:dyDescent="0.2">
      <c r="A59" s="28" t="s">
        <v>21</v>
      </c>
      <c r="B59" s="28" t="s">
        <v>367</v>
      </c>
      <c r="C59" s="28"/>
      <c r="D59" s="29"/>
      <c r="E59" s="28"/>
      <c r="F59" s="29"/>
      <c r="G59" s="28"/>
      <c r="H59" s="29"/>
      <c r="I59" s="28"/>
      <c r="J59" s="28"/>
      <c r="K59" s="28"/>
      <c r="L59" s="28"/>
      <c r="M59" s="28" t="s">
        <v>6280</v>
      </c>
      <c r="N59" s="28"/>
      <c r="O59" s="28"/>
      <c r="P59" s="28"/>
      <c r="Q59" s="28"/>
      <c r="R59" s="28"/>
      <c r="S59" s="28"/>
    </row>
    <row r="60" spans="1:19" outlineLevel="1" x14ac:dyDescent="0.2">
      <c r="A60" s="28" t="s">
        <v>21</v>
      </c>
      <c r="B60" s="28" t="s">
        <v>368</v>
      </c>
      <c r="C60" s="28"/>
      <c r="D60" s="29"/>
      <c r="E60" s="28"/>
      <c r="F60" s="29"/>
      <c r="G60" s="28"/>
      <c r="H60" s="29"/>
      <c r="I60" s="28"/>
      <c r="J60" s="28"/>
      <c r="K60" s="28"/>
      <c r="L60" s="28"/>
      <c r="M60" s="28" t="s">
        <v>6281</v>
      </c>
      <c r="N60" s="28"/>
      <c r="O60" s="28"/>
      <c r="P60" s="28"/>
      <c r="Q60" s="28"/>
      <c r="R60" s="28"/>
      <c r="S60" s="28"/>
    </row>
    <row r="61" spans="1:19" outlineLevel="1" x14ac:dyDescent="0.2">
      <c r="A61" s="28" t="s">
        <v>21</v>
      </c>
      <c r="B61" s="28" t="s">
        <v>369</v>
      </c>
      <c r="C61" s="28"/>
      <c r="D61" s="29"/>
      <c r="E61" s="28"/>
      <c r="F61" s="29"/>
      <c r="G61" s="28"/>
      <c r="H61" s="29"/>
      <c r="I61" s="28"/>
      <c r="J61" s="28"/>
      <c r="K61" s="28"/>
      <c r="L61" s="28"/>
      <c r="M61" s="28" t="s">
        <v>6282</v>
      </c>
      <c r="N61" s="28"/>
      <c r="O61" s="28"/>
      <c r="P61" s="28"/>
      <c r="Q61" s="28"/>
      <c r="R61" s="28"/>
      <c r="S61" s="28"/>
    </row>
    <row r="62" spans="1:19" outlineLevel="1" x14ac:dyDescent="0.2">
      <c r="A62" s="28" t="s">
        <v>21</v>
      </c>
      <c r="B62" s="28" t="s">
        <v>370</v>
      </c>
      <c r="C62" s="28"/>
      <c r="D62" s="29"/>
      <c r="E62" s="28"/>
      <c r="F62" s="29"/>
      <c r="G62" s="28"/>
      <c r="H62" s="29"/>
      <c r="I62" s="28"/>
      <c r="J62" s="28"/>
      <c r="K62" s="28"/>
      <c r="L62" s="28"/>
      <c r="M62" s="28" t="s">
        <v>6283</v>
      </c>
      <c r="N62" s="28"/>
      <c r="O62" s="28"/>
      <c r="P62" s="28"/>
      <c r="Q62" s="28"/>
      <c r="R62" s="28"/>
      <c r="S62" s="28"/>
    </row>
    <row r="63" spans="1:19" outlineLevel="1" x14ac:dyDescent="0.2">
      <c r="A63" s="28" t="s">
        <v>21</v>
      </c>
      <c r="B63" s="28" t="s">
        <v>371</v>
      </c>
      <c r="C63" s="28"/>
      <c r="D63" s="29"/>
      <c r="E63" s="28"/>
      <c r="F63" s="29"/>
      <c r="G63" s="28"/>
      <c r="H63" s="29"/>
      <c r="I63" s="28"/>
      <c r="J63" s="28"/>
      <c r="K63" s="28"/>
      <c r="L63" s="28"/>
      <c r="M63" s="28" t="s">
        <v>6284</v>
      </c>
      <c r="N63" s="28"/>
      <c r="O63" s="28"/>
      <c r="P63" s="28"/>
      <c r="Q63" s="28"/>
      <c r="R63" s="28"/>
      <c r="S63" s="28"/>
    </row>
    <row r="64" spans="1:19" outlineLevel="1" x14ac:dyDescent="0.2">
      <c r="A64" s="28" t="s">
        <v>21</v>
      </c>
      <c r="B64" s="28" t="s">
        <v>372</v>
      </c>
      <c r="C64" s="28"/>
      <c r="D64" s="29"/>
      <c r="E64" s="28"/>
      <c r="F64" s="29"/>
      <c r="G64" s="28"/>
      <c r="H64" s="29"/>
      <c r="I64" s="28"/>
      <c r="J64" s="28"/>
      <c r="K64" s="28"/>
      <c r="L64" s="28"/>
      <c r="M64" s="28" t="s">
        <v>6285</v>
      </c>
      <c r="N64" s="28"/>
      <c r="O64" s="28"/>
      <c r="P64" s="28"/>
      <c r="Q64" s="28"/>
      <c r="R64" s="28"/>
      <c r="S64" s="28"/>
    </row>
    <row r="65" spans="1:19" outlineLevel="1" x14ac:dyDescent="0.2">
      <c r="A65" s="28" t="s">
        <v>21</v>
      </c>
      <c r="B65" s="28" t="s">
        <v>373</v>
      </c>
      <c r="C65" s="28"/>
      <c r="D65" s="29"/>
      <c r="E65" s="28"/>
      <c r="F65" s="29"/>
      <c r="G65" s="28"/>
      <c r="H65" s="29"/>
      <c r="I65" s="28"/>
      <c r="J65" s="28"/>
      <c r="K65" s="28"/>
      <c r="L65" s="28"/>
      <c r="M65" s="28" t="s">
        <v>6286</v>
      </c>
      <c r="N65" s="28"/>
      <c r="O65" s="28"/>
      <c r="P65" s="28"/>
      <c r="Q65" s="28"/>
      <c r="R65" s="28"/>
      <c r="S65" s="28"/>
    </row>
    <row r="66" spans="1:19" outlineLevel="1" x14ac:dyDescent="0.2">
      <c r="A66" s="28" t="s">
        <v>21</v>
      </c>
      <c r="B66" s="28" t="s">
        <v>374</v>
      </c>
      <c r="C66" s="28"/>
      <c r="D66" s="29"/>
      <c r="E66" s="28"/>
      <c r="F66" s="29"/>
      <c r="G66" s="28"/>
      <c r="H66" s="29"/>
      <c r="I66" s="28"/>
      <c r="J66" s="28"/>
      <c r="K66" s="28"/>
      <c r="L66" s="28"/>
      <c r="M66" s="28" t="s">
        <v>6287</v>
      </c>
      <c r="N66" s="28"/>
      <c r="O66" s="28"/>
      <c r="P66" s="28"/>
      <c r="Q66" s="28"/>
      <c r="R66" s="28"/>
      <c r="S66" s="28"/>
    </row>
    <row r="67" spans="1:19" outlineLevel="1" x14ac:dyDescent="0.2">
      <c r="A67" s="28" t="s">
        <v>21</v>
      </c>
      <c r="B67" s="28" t="s">
        <v>507</v>
      </c>
      <c r="C67" s="28"/>
      <c r="D67" s="29"/>
      <c r="E67" s="28"/>
      <c r="F67" s="29"/>
      <c r="G67" s="28"/>
      <c r="H67" s="29"/>
      <c r="I67" s="28"/>
      <c r="J67" s="28"/>
      <c r="K67" s="28"/>
      <c r="L67" s="28"/>
      <c r="M67" s="28" t="s">
        <v>6288</v>
      </c>
      <c r="N67" s="28"/>
      <c r="O67" s="28"/>
      <c r="P67" s="28"/>
      <c r="Q67" s="28"/>
      <c r="R67" s="28"/>
      <c r="S67" s="28"/>
    </row>
    <row r="68" spans="1:19" outlineLevel="1" x14ac:dyDescent="0.2">
      <c r="A68" s="28" t="s">
        <v>21</v>
      </c>
      <c r="B68" s="28" t="s">
        <v>508</v>
      </c>
      <c r="C68" s="28"/>
      <c r="D68" s="29"/>
      <c r="E68" s="28"/>
      <c r="F68" s="29"/>
      <c r="G68" s="28"/>
      <c r="H68" s="29"/>
      <c r="I68" s="28"/>
      <c r="J68" s="28"/>
      <c r="K68" s="28"/>
      <c r="L68" s="28"/>
      <c r="M68" s="28" t="s">
        <v>6289</v>
      </c>
      <c r="N68" s="28"/>
      <c r="O68" s="28"/>
      <c r="P68" s="28"/>
      <c r="Q68" s="28"/>
      <c r="R68" s="28"/>
      <c r="S68" s="28"/>
    </row>
    <row r="69" spans="1:19" outlineLevel="1" x14ac:dyDescent="0.2">
      <c r="A69" s="28" t="s">
        <v>21</v>
      </c>
      <c r="B69" s="28" t="s">
        <v>509</v>
      </c>
      <c r="C69" s="28"/>
      <c r="D69" s="29"/>
      <c r="E69" s="28"/>
      <c r="F69" s="29"/>
      <c r="G69" s="28"/>
      <c r="H69" s="29"/>
      <c r="I69" s="28"/>
      <c r="J69" s="28"/>
      <c r="K69" s="28"/>
      <c r="L69" s="28"/>
      <c r="M69" s="28" t="s">
        <v>6290</v>
      </c>
      <c r="N69" s="28"/>
      <c r="O69" s="28"/>
      <c r="P69" s="28"/>
      <c r="Q69" s="28"/>
      <c r="R69" s="28"/>
      <c r="S69" s="28"/>
    </row>
    <row r="70" spans="1:19" outlineLevel="1" x14ac:dyDescent="0.2">
      <c r="A70" s="28" t="s">
        <v>21</v>
      </c>
      <c r="B70" s="28" t="s">
        <v>510</v>
      </c>
      <c r="C70" s="28"/>
      <c r="D70" s="29"/>
      <c r="E70" s="28"/>
      <c r="F70" s="29"/>
      <c r="G70" s="28"/>
      <c r="H70" s="29"/>
      <c r="I70" s="28"/>
      <c r="J70" s="28"/>
      <c r="K70" s="28"/>
      <c r="L70" s="28"/>
      <c r="M70" s="28" t="s">
        <v>6291</v>
      </c>
      <c r="N70" s="28"/>
      <c r="O70" s="28"/>
      <c r="P70" s="28"/>
      <c r="Q70" s="28"/>
      <c r="R70" s="28"/>
      <c r="S70" s="28"/>
    </row>
    <row r="71" spans="1:19" outlineLevel="1" x14ac:dyDescent="0.2">
      <c r="A71" s="28" t="s">
        <v>21</v>
      </c>
      <c r="B71" s="28" t="s">
        <v>511</v>
      </c>
      <c r="C71" s="28"/>
      <c r="D71" s="29"/>
      <c r="E71" s="28"/>
      <c r="F71" s="29"/>
      <c r="G71" s="28"/>
      <c r="H71" s="29"/>
      <c r="I71" s="28"/>
      <c r="J71" s="28"/>
      <c r="K71" s="28"/>
      <c r="L71" s="28"/>
      <c r="M71" s="28" t="s">
        <v>6292</v>
      </c>
      <c r="N71" s="28"/>
      <c r="O71" s="28"/>
      <c r="P71" s="28"/>
      <c r="Q71" s="28"/>
      <c r="R71" s="28"/>
      <c r="S71" s="28"/>
    </row>
    <row r="72" spans="1:19" outlineLevel="1" x14ac:dyDescent="0.2">
      <c r="A72" s="28" t="s">
        <v>21</v>
      </c>
      <c r="B72" s="28" t="s">
        <v>512</v>
      </c>
      <c r="C72" s="28"/>
      <c r="D72" s="29"/>
      <c r="E72" s="28"/>
      <c r="F72" s="29"/>
      <c r="G72" s="28"/>
      <c r="H72" s="29"/>
      <c r="I72" s="28"/>
      <c r="J72" s="28"/>
      <c r="K72" s="28"/>
      <c r="L72" s="28"/>
      <c r="M72" s="28" t="s">
        <v>6293</v>
      </c>
      <c r="N72" s="28"/>
      <c r="O72" s="28"/>
      <c r="P72" s="28"/>
      <c r="Q72" s="28"/>
      <c r="R72" s="28"/>
      <c r="S72" s="28"/>
    </row>
    <row r="73" spans="1:19" outlineLevel="1" x14ac:dyDescent="0.2">
      <c r="A73" s="28" t="s">
        <v>21</v>
      </c>
      <c r="B73" s="28" t="s">
        <v>513</v>
      </c>
      <c r="C73" s="28"/>
      <c r="D73" s="29"/>
      <c r="E73" s="28"/>
      <c r="F73" s="29"/>
      <c r="G73" s="28"/>
      <c r="H73" s="29"/>
      <c r="I73" s="28"/>
      <c r="J73" s="28"/>
      <c r="K73" s="28"/>
      <c r="L73" s="28"/>
      <c r="M73" s="28" t="s">
        <v>6294</v>
      </c>
      <c r="N73" s="28"/>
      <c r="O73" s="28"/>
      <c r="P73" s="28"/>
      <c r="Q73" s="28"/>
      <c r="R73" s="28"/>
      <c r="S73" s="28"/>
    </row>
    <row r="74" spans="1:19" outlineLevel="1" x14ac:dyDescent="0.2">
      <c r="A74" s="28" t="s">
        <v>21</v>
      </c>
      <c r="B74" s="28" t="s">
        <v>514</v>
      </c>
      <c r="C74" s="28"/>
      <c r="D74" s="29"/>
      <c r="E74" s="28"/>
      <c r="F74" s="29"/>
      <c r="G74" s="28"/>
      <c r="H74" s="29"/>
      <c r="I74" s="28"/>
      <c r="J74" s="28"/>
      <c r="K74" s="28"/>
      <c r="L74" s="28"/>
      <c r="M74" s="28" t="s">
        <v>6295</v>
      </c>
      <c r="N74" s="28"/>
      <c r="O74" s="28"/>
      <c r="P74" s="28"/>
      <c r="Q74" s="28"/>
      <c r="R74" s="28"/>
      <c r="S74" s="28"/>
    </row>
    <row r="75" spans="1:19" outlineLevel="1" x14ac:dyDescent="0.2">
      <c r="A75" s="28" t="s">
        <v>21</v>
      </c>
      <c r="B75" s="28" t="s">
        <v>515</v>
      </c>
      <c r="C75" s="28"/>
      <c r="D75" s="29"/>
      <c r="E75" s="28"/>
      <c r="F75" s="29"/>
      <c r="G75" s="28"/>
      <c r="H75" s="29"/>
      <c r="I75" s="28"/>
      <c r="J75" s="28"/>
      <c r="K75" s="28"/>
      <c r="L75" s="28"/>
      <c r="M75" s="28" t="s">
        <v>6296</v>
      </c>
      <c r="N75" s="28"/>
      <c r="O75" s="28"/>
      <c r="P75" s="28"/>
      <c r="Q75" s="28"/>
      <c r="R75" s="28"/>
      <c r="S75" s="28"/>
    </row>
    <row r="76" spans="1:19" outlineLevel="1" x14ac:dyDescent="0.2">
      <c r="A76" s="28" t="s">
        <v>21</v>
      </c>
      <c r="B76" s="28" t="s">
        <v>516</v>
      </c>
      <c r="C76" s="28"/>
      <c r="D76" s="29"/>
      <c r="E76" s="28"/>
      <c r="F76" s="29"/>
      <c r="G76" s="28"/>
      <c r="H76" s="29"/>
      <c r="I76" s="28"/>
      <c r="J76" s="28"/>
      <c r="K76" s="28"/>
      <c r="L76" s="28"/>
      <c r="M76" s="28" t="s">
        <v>6297</v>
      </c>
      <c r="N76" s="28"/>
      <c r="O76" s="28"/>
      <c r="P76" s="28"/>
      <c r="Q76" s="28"/>
      <c r="R76" s="28"/>
      <c r="S76" s="28"/>
    </row>
    <row r="77" spans="1:19" x14ac:dyDescent="0.2">
      <c r="A77" s="7"/>
      <c r="B77" s="7"/>
      <c r="C77" s="7"/>
      <c r="D77" s="24"/>
      <c r="I77" s="7"/>
      <c r="J77" s="7"/>
      <c r="K77" s="7"/>
      <c r="L77" s="7"/>
      <c r="M77" s="7"/>
      <c r="N77" s="7"/>
      <c r="O77" s="7"/>
      <c r="P77" s="7"/>
      <c r="Q77" s="7"/>
      <c r="R77" s="7"/>
    </row>
    <row r="78" spans="1:19" outlineLevel="1" x14ac:dyDescent="0.2">
      <c r="A78" s="25" t="s">
        <v>21</v>
      </c>
      <c r="B78" s="25" t="s">
        <v>375</v>
      </c>
      <c r="C78" s="25"/>
      <c r="D78" s="26"/>
      <c r="E78" s="25"/>
      <c r="F78" s="26"/>
      <c r="G78" s="25"/>
      <c r="H78" s="26"/>
      <c r="I78" s="25"/>
      <c r="J78" s="25"/>
      <c r="K78" s="25"/>
      <c r="L78" s="25"/>
      <c r="M78" s="25" t="s">
        <v>390</v>
      </c>
      <c r="N78" s="25"/>
      <c r="O78" s="25"/>
      <c r="P78" s="25"/>
      <c r="Q78" s="25"/>
      <c r="R78" s="25"/>
      <c r="S78" s="25"/>
    </row>
    <row r="79" spans="1:19" outlineLevel="1" x14ac:dyDescent="0.2">
      <c r="A79" s="25" t="s">
        <v>21</v>
      </c>
      <c r="B79" s="25" t="s">
        <v>376</v>
      </c>
      <c r="C79" s="25"/>
      <c r="D79" s="26"/>
      <c r="E79" s="25"/>
      <c r="F79" s="26"/>
      <c r="G79" s="25"/>
      <c r="H79" s="26"/>
      <c r="I79" s="25"/>
      <c r="J79" s="25"/>
      <c r="K79" s="25"/>
      <c r="L79" s="25"/>
      <c r="M79" s="25" t="s">
        <v>391</v>
      </c>
      <c r="N79" s="25"/>
      <c r="O79" s="25"/>
      <c r="P79" s="25"/>
      <c r="Q79" s="25"/>
      <c r="R79" s="25"/>
      <c r="S79" s="25"/>
    </row>
    <row r="80" spans="1:19" outlineLevel="1" x14ac:dyDescent="0.2">
      <c r="A80" s="25" t="s">
        <v>21</v>
      </c>
      <c r="B80" s="25" t="s">
        <v>377</v>
      </c>
      <c r="C80" s="25"/>
      <c r="D80" s="26"/>
      <c r="E80" s="25"/>
      <c r="F80" s="26"/>
      <c r="G80" s="25"/>
      <c r="H80" s="26"/>
      <c r="I80" s="25"/>
      <c r="J80" s="25"/>
      <c r="K80" s="25"/>
      <c r="L80" s="25"/>
      <c r="M80" s="25" t="s">
        <v>392</v>
      </c>
      <c r="N80" s="25"/>
      <c r="O80" s="25"/>
      <c r="P80" s="25"/>
      <c r="Q80" s="25"/>
      <c r="R80" s="25"/>
      <c r="S80" s="25"/>
    </row>
    <row r="81" spans="1:19" outlineLevel="1" x14ac:dyDescent="0.2">
      <c r="A81" s="25" t="s">
        <v>21</v>
      </c>
      <c r="B81" s="25" t="s">
        <v>378</v>
      </c>
      <c r="C81" s="25"/>
      <c r="D81" s="26"/>
      <c r="E81" s="25"/>
      <c r="F81" s="26"/>
      <c r="G81" s="25"/>
      <c r="H81" s="26"/>
      <c r="I81" s="25"/>
      <c r="J81" s="25"/>
      <c r="K81" s="25"/>
      <c r="L81" s="25"/>
      <c r="M81" s="25" t="s">
        <v>393</v>
      </c>
      <c r="N81" s="25"/>
      <c r="O81" s="25"/>
      <c r="P81" s="25"/>
      <c r="Q81" s="25"/>
      <c r="R81" s="25"/>
      <c r="S81" s="25"/>
    </row>
    <row r="82" spans="1:19" outlineLevel="1" x14ac:dyDescent="0.2">
      <c r="A82" s="25" t="s">
        <v>21</v>
      </c>
      <c r="B82" s="25" t="s">
        <v>379</v>
      </c>
      <c r="C82" s="25"/>
      <c r="D82" s="26"/>
      <c r="E82" s="25"/>
      <c r="F82" s="26"/>
      <c r="G82" s="25"/>
      <c r="H82" s="26"/>
      <c r="I82" s="25"/>
      <c r="J82" s="25"/>
      <c r="K82" s="25"/>
      <c r="L82" s="25"/>
      <c r="M82" s="25" t="s">
        <v>394</v>
      </c>
      <c r="N82" s="25"/>
      <c r="O82" s="25"/>
      <c r="P82" s="25"/>
      <c r="Q82" s="25"/>
      <c r="R82" s="25"/>
      <c r="S82" s="25"/>
    </row>
    <row r="83" spans="1:19" outlineLevel="1" x14ac:dyDescent="0.2">
      <c r="A83" s="25" t="s">
        <v>21</v>
      </c>
      <c r="B83" s="25" t="s">
        <v>380</v>
      </c>
      <c r="C83" s="25"/>
      <c r="D83" s="26"/>
      <c r="E83" s="25"/>
      <c r="F83" s="26"/>
      <c r="G83" s="25"/>
      <c r="H83" s="26"/>
      <c r="I83" s="25"/>
      <c r="J83" s="25"/>
      <c r="K83" s="25"/>
      <c r="L83" s="25"/>
      <c r="M83" s="25" t="s">
        <v>395</v>
      </c>
      <c r="N83" s="25"/>
      <c r="O83" s="25"/>
      <c r="P83" s="25"/>
      <c r="Q83" s="25"/>
      <c r="R83" s="25"/>
      <c r="S83" s="25"/>
    </row>
    <row r="84" spans="1:19" outlineLevel="1" x14ac:dyDescent="0.2">
      <c r="A84" s="25" t="s">
        <v>21</v>
      </c>
      <c r="B84" s="25" t="s">
        <v>381</v>
      </c>
      <c r="C84" s="25"/>
      <c r="D84" s="26"/>
      <c r="E84" s="25"/>
      <c r="F84" s="26"/>
      <c r="G84" s="25"/>
      <c r="H84" s="26"/>
      <c r="I84" s="25"/>
      <c r="J84" s="25"/>
      <c r="K84" s="25"/>
      <c r="L84" s="25"/>
      <c r="M84" s="25" t="s">
        <v>396</v>
      </c>
      <c r="N84" s="25"/>
      <c r="O84" s="25"/>
      <c r="P84" s="25"/>
      <c r="Q84" s="25"/>
      <c r="R84" s="25"/>
      <c r="S84" s="25"/>
    </row>
    <row r="85" spans="1:19" outlineLevel="1" x14ac:dyDescent="0.2">
      <c r="A85" s="25" t="s">
        <v>21</v>
      </c>
      <c r="B85" s="25" t="s">
        <v>382</v>
      </c>
      <c r="C85" s="25"/>
      <c r="D85" s="26"/>
      <c r="E85" s="25"/>
      <c r="F85" s="26"/>
      <c r="G85" s="25"/>
      <c r="H85" s="26"/>
      <c r="I85" s="25"/>
      <c r="J85" s="25"/>
      <c r="K85" s="25"/>
      <c r="L85" s="25"/>
      <c r="M85" s="25" t="s">
        <v>397</v>
      </c>
      <c r="N85" s="25"/>
      <c r="O85" s="25"/>
      <c r="P85" s="25"/>
      <c r="Q85" s="25"/>
      <c r="R85" s="25"/>
      <c r="S85" s="25"/>
    </row>
    <row r="86" spans="1:19" outlineLevel="1" x14ac:dyDescent="0.2">
      <c r="A86" s="25" t="s">
        <v>21</v>
      </c>
      <c r="B86" s="25" t="s">
        <v>383</v>
      </c>
      <c r="C86" s="25"/>
      <c r="D86" s="26"/>
      <c r="E86" s="25"/>
      <c r="F86" s="26"/>
      <c r="G86" s="25"/>
      <c r="H86" s="26"/>
      <c r="I86" s="25"/>
      <c r="J86" s="25"/>
      <c r="K86" s="25"/>
      <c r="L86" s="25"/>
      <c r="M86" s="25" t="s">
        <v>398</v>
      </c>
      <c r="N86" s="25"/>
      <c r="O86" s="25"/>
      <c r="P86" s="25"/>
      <c r="Q86" s="25"/>
      <c r="R86" s="25"/>
      <c r="S86" s="25"/>
    </row>
    <row r="87" spans="1:19" outlineLevel="1" x14ac:dyDescent="0.2">
      <c r="A87" s="25" t="s">
        <v>21</v>
      </c>
      <c r="B87" s="25" t="s">
        <v>384</v>
      </c>
      <c r="C87" s="25"/>
      <c r="D87" s="26"/>
      <c r="E87" s="25"/>
      <c r="F87" s="26"/>
      <c r="G87" s="25"/>
      <c r="H87" s="26"/>
      <c r="I87" s="25"/>
      <c r="J87" s="25"/>
      <c r="K87" s="25"/>
      <c r="L87" s="25"/>
      <c r="M87" s="25" t="s">
        <v>399</v>
      </c>
      <c r="N87" s="25"/>
      <c r="O87" s="25"/>
      <c r="P87" s="25"/>
      <c r="Q87" s="25"/>
      <c r="R87" s="25"/>
      <c r="S87" s="25"/>
    </row>
    <row r="88" spans="1:19" outlineLevel="1" x14ac:dyDescent="0.2">
      <c r="A88" s="25" t="s">
        <v>21</v>
      </c>
      <c r="B88" s="25" t="s">
        <v>385</v>
      </c>
      <c r="C88" s="25"/>
      <c r="D88" s="26"/>
      <c r="E88" s="25"/>
      <c r="F88" s="26"/>
      <c r="G88" s="25"/>
      <c r="H88" s="26"/>
      <c r="I88" s="25"/>
      <c r="J88" s="25"/>
      <c r="K88" s="25"/>
      <c r="L88" s="25"/>
      <c r="M88" s="25" t="s">
        <v>400</v>
      </c>
      <c r="N88" s="25"/>
      <c r="O88" s="25"/>
      <c r="P88" s="25"/>
      <c r="Q88" s="25"/>
      <c r="R88" s="25"/>
      <c r="S88" s="25"/>
    </row>
    <row r="89" spans="1:19" outlineLevel="1" x14ac:dyDescent="0.2">
      <c r="A89" s="25" t="s">
        <v>21</v>
      </c>
      <c r="B89" s="25" t="s">
        <v>386</v>
      </c>
      <c r="C89" s="25"/>
      <c r="D89" s="26"/>
      <c r="E89" s="25"/>
      <c r="F89" s="26"/>
      <c r="G89" s="25"/>
      <c r="H89" s="26"/>
      <c r="I89" s="25"/>
      <c r="J89" s="25"/>
      <c r="K89" s="25"/>
      <c r="L89" s="25"/>
      <c r="M89" s="25" t="s">
        <v>401</v>
      </c>
      <c r="N89" s="25"/>
      <c r="O89" s="25"/>
      <c r="P89" s="25"/>
      <c r="Q89" s="25"/>
      <c r="R89" s="25"/>
      <c r="S89" s="25"/>
    </row>
    <row r="90" spans="1:19" outlineLevel="1" x14ac:dyDescent="0.2">
      <c r="A90" s="25" t="s">
        <v>21</v>
      </c>
      <c r="B90" s="25" t="s">
        <v>387</v>
      </c>
      <c r="C90" s="25"/>
      <c r="D90" s="26"/>
      <c r="E90" s="25"/>
      <c r="F90" s="26"/>
      <c r="G90" s="25"/>
      <c r="H90" s="26"/>
      <c r="I90" s="25"/>
      <c r="J90" s="25"/>
      <c r="K90" s="25"/>
      <c r="L90" s="25"/>
      <c r="M90" s="25" t="s">
        <v>402</v>
      </c>
      <c r="N90" s="25"/>
      <c r="O90" s="25"/>
      <c r="P90" s="25"/>
      <c r="Q90" s="25"/>
      <c r="R90" s="25"/>
      <c r="S90" s="25"/>
    </row>
    <row r="91" spans="1:19" outlineLevel="1" x14ac:dyDescent="0.2">
      <c r="A91" s="25" t="s">
        <v>21</v>
      </c>
      <c r="B91" s="25" t="s">
        <v>388</v>
      </c>
      <c r="C91" s="25"/>
      <c r="D91" s="26"/>
      <c r="E91" s="25"/>
      <c r="F91" s="26"/>
      <c r="G91" s="25"/>
      <c r="H91" s="26"/>
      <c r="I91" s="25"/>
      <c r="J91" s="25"/>
      <c r="K91" s="25"/>
      <c r="L91" s="25"/>
      <c r="M91" s="25" t="s">
        <v>403</v>
      </c>
      <c r="N91" s="25"/>
      <c r="O91" s="25"/>
      <c r="P91" s="25"/>
      <c r="Q91" s="25"/>
      <c r="R91" s="25"/>
      <c r="S91" s="25"/>
    </row>
    <row r="92" spans="1:19" outlineLevel="1" x14ac:dyDescent="0.2">
      <c r="A92" s="25" t="s">
        <v>21</v>
      </c>
      <c r="B92" s="25" t="s">
        <v>389</v>
      </c>
      <c r="C92" s="25"/>
      <c r="D92" s="26"/>
      <c r="E92" s="25"/>
      <c r="F92" s="26"/>
      <c r="G92" s="25"/>
      <c r="H92" s="26"/>
      <c r="I92" s="25"/>
      <c r="J92" s="25"/>
      <c r="K92" s="25"/>
      <c r="L92" s="25"/>
      <c r="M92" s="25" t="s">
        <v>404</v>
      </c>
      <c r="N92" s="25"/>
      <c r="O92" s="25"/>
      <c r="P92" s="25"/>
      <c r="Q92" s="25"/>
      <c r="R92" s="25"/>
      <c r="S92" s="25"/>
    </row>
    <row r="93" spans="1:19" outlineLevel="1" x14ac:dyDescent="0.2">
      <c r="A93" s="25" t="s">
        <v>21</v>
      </c>
      <c r="B93" s="25" t="s">
        <v>517</v>
      </c>
      <c r="C93" s="25"/>
      <c r="D93" s="26"/>
      <c r="E93" s="25"/>
      <c r="F93" s="26"/>
      <c r="G93" s="25"/>
      <c r="H93" s="26"/>
      <c r="I93" s="25"/>
      <c r="J93" s="25"/>
      <c r="K93" s="25"/>
      <c r="L93" s="25"/>
      <c r="M93" s="25" t="s">
        <v>581</v>
      </c>
      <c r="N93" s="25"/>
      <c r="O93" s="25"/>
      <c r="P93" s="25"/>
      <c r="Q93" s="25"/>
      <c r="R93" s="25"/>
      <c r="S93" s="25"/>
    </row>
    <row r="94" spans="1:19" outlineLevel="1" x14ac:dyDescent="0.2">
      <c r="A94" s="25" t="s">
        <v>21</v>
      </c>
      <c r="B94" s="25" t="s">
        <v>518</v>
      </c>
      <c r="C94" s="25"/>
      <c r="D94" s="26"/>
      <c r="E94" s="25"/>
      <c r="F94" s="26"/>
      <c r="G94" s="25"/>
      <c r="H94" s="26"/>
      <c r="I94" s="25"/>
      <c r="J94" s="25"/>
      <c r="K94" s="25"/>
      <c r="L94" s="25"/>
      <c r="M94" s="25" t="s">
        <v>582</v>
      </c>
      <c r="N94" s="25"/>
      <c r="O94" s="25"/>
      <c r="P94" s="25"/>
      <c r="Q94" s="25"/>
      <c r="R94" s="25"/>
      <c r="S94" s="25"/>
    </row>
    <row r="95" spans="1:19" outlineLevel="1" x14ac:dyDescent="0.2">
      <c r="A95" s="25" t="s">
        <v>21</v>
      </c>
      <c r="B95" s="25" t="s">
        <v>519</v>
      </c>
      <c r="C95" s="25"/>
      <c r="D95" s="26"/>
      <c r="E95" s="25"/>
      <c r="F95" s="26"/>
      <c r="G95" s="25"/>
      <c r="H95" s="26"/>
      <c r="I95" s="25"/>
      <c r="J95" s="25"/>
      <c r="K95" s="25"/>
      <c r="L95" s="25"/>
      <c r="M95" s="25" t="s">
        <v>587</v>
      </c>
      <c r="N95" s="25"/>
      <c r="O95" s="25"/>
      <c r="P95" s="25"/>
      <c r="Q95" s="25"/>
      <c r="R95" s="25"/>
      <c r="S95" s="25"/>
    </row>
    <row r="96" spans="1:19" outlineLevel="1" x14ac:dyDescent="0.2">
      <c r="A96" s="25" t="s">
        <v>21</v>
      </c>
      <c r="B96" s="25" t="s">
        <v>520</v>
      </c>
      <c r="C96" s="25"/>
      <c r="D96" s="26"/>
      <c r="E96" s="25"/>
      <c r="F96" s="26"/>
      <c r="G96" s="25"/>
      <c r="H96" s="26"/>
      <c r="I96" s="25"/>
      <c r="J96" s="25"/>
      <c r="K96" s="25"/>
      <c r="L96" s="25"/>
      <c r="M96" s="25" t="s">
        <v>588</v>
      </c>
      <c r="N96" s="25"/>
      <c r="O96" s="25"/>
      <c r="P96" s="25"/>
      <c r="Q96" s="25"/>
      <c r="R96" s="25"/>
      <c r="S96" s="25"/>
    </row>
    <row r="97" spans="1:19" outlineLevel="1" x14ac:dyDescent="0.2">
      <c r="A97" s="25" t="s">
        <v>21</v>
      </c>
      <c r="B97" s="25" t="s">
        <v>521</v>
      </c>
      <c r="C97" s="25"/>
      <c r="D97" s="26"/>
      <c r="E97" s="25"/>
      <c r="F97" s="26"/>
      <c r="G97" s="25"/>
      <c r="H97" s="26"/>
      <c r="I97" s="25"/>
      <c r="J97" s="25"/>
      <c r="K97" s="25"/>
      <c r="L97" s="25"/>
      <c r="M97" s="25" t="s">
        <v>589</v>
      </c>
      <c r="N97" s="25"/>
      <c r="O97" s="25"/>
      <c r="P97" s="25"/>
      <c r="Q97" s="25"/>
      <c r="R97" s="25"/>
      <c r="S97" s="25"/>
    </row>
    <row r="98" spans="1:19" outlineLevel="1" x14ac:dyDescent="0.2">
      <c r="A98" s="25" t="s">
        <v>21</v>
      </c>
      <c r="B98" s="25" t="s">
        <v>522</v>
      </c>
      <c r="C98" s="25"/>
      <c r="D98" s="26"/>
      <c r="E98" s="25"/>
      <c r="F98" s="26"/>
      <c r="G98" s="25"/>
      <c r="H98" s="26"/>
      <c r="I98" s="25"/>
      <c r="J98" s="25"/>
      <c r="K98" s="25"/>
      <c r="L98" s="25"/>
      <c r="M98" s="25" t="s">
        <v>590</v>
      </c>
      <c r="N98" s="25"/>
      <c r="O98" s="25"/>
      <c r="P98" s="25"/>
      <c r="Q98" s="25"/>
      <c r="R98" s="25"/>
      <c r="S98" s="25"/>
    </row>
    <row r="99" spans="1:19" outlineLevel="1" x14ac:dyDescent="0.2">
      <c r="A99" s="25" t="s">
        <v>21</v>
      </c>
      <c r="B99" s="25" t="s">
        <v>523</v>
      </c>
      <c r="C99" s="25"/>
      <c r="D99" s="26"/>
      <c r="E99" s="25"/>
      <c r="F99" s="26"/>
      <c r="G99" s="25"/>
      <c r="H99" s="26"/>
      <c r="I99" s="25"/>
      <c r="J99" s="25"/>
      <c r="K99" s="25"/>
      <c r="L99" s="25"/>
      <c r="M99" s="25" t="s">
        <v>591</v>
      </c>
      <c r="N99" s="25"/>
      <c r="O99" s="25"/>
      <c r="P99" s="25"/>
      <c r="Q99" s="25"/>
      <c r="R99" s="25"/>
      <c r="S99" s="25"/>
    </row>
    <row r="100" spans="1:19" outlineLevel="1" x14ac:dyDescent="0.2">
      <c r="A100" s="25" t="s">
        <v>21</v>
      </c>
      <c r="B100" s="25" t="s">
        <v>524</v>
      </c>
      <c r="C100" s="25"/>
      <c r="D100" s="26"/>
      <c r="E100" s="25"/>
      <c r="F100" s="26"/>
      <c r="G100" s="25"/>
      <c r="H100" s="26"/>
      <c r="I100" s="25"/>
      <c r="J100" s="25"/>
      <c r="K100" s="25"/>
      <c r="L100" s="25"/>
      <c r="M100" s="25" t="s">
        <v>592</v>
      </c>
      <c r="N100" s="25"/>
      <c r="O100" s="25"/>
      <c r="P100" s="25"/>
      <c r="Q100" s="25"/>
      <c r="R100" s="25"/>
      <c r="S100" s="25"/>
    </row>
    <row r="101" spans="1:19" outlineLevel="1" x14ac:dyDescent="0.2">
      <c r="A101" s="25" t="s">
        <v>21</v>
      </c>
      <c r="B101" s="25" t="s">
        <v>525</v>
      </c>
      <c r="C101" s="25"/>
      <c r="D101" s="26"/>
      <c r="E101" s="25"/>
      <c r="F101" s="26"/>
      <c r="G101" s="25"/>
      <c r="H101" s="26"/>
      <c r="I101" s="25"/>
      <c r="J101" s="25"/>
      <c r="K101" s="25"/>
      <c r="L101" s="25"/>
      <c r="M101" s="25" t="s">
        <v>593</v>
      </c>
      <c r="N101" s="25"/>
      <c r="O101" s="25"/>
      <c r="P101" s="25"/>
      <c r="Q101" s="25"/>
      <c r="R101" s="25"/>
      <c r="S101" s="25"/>
    </row>
    <row r="102" spans="1:19" outlineLevel="1" x14ac:dyDescent="0.2">
      <c r="A102" s="25" t="s">
        <v>21</v>
      </c>
      <c r="B102" s="25" t="s">
        <v>526</v>
      </c>
      <c r="C102" s="25"/>
      <c r="D102" s="26"/>
      <c r="E102" s="25"/>
      <c r="F102" s="26"/>
      <c r="G102" s="25"/>
      <c r="H102" s="26"/>
      <c r="I102" s="25"/>
      <c r="J102" s="25"/>
      <c r="K102" s="25"/>
      <c r="L102" s="25"/>
      <c r="M102" s="25" t="s">
        <v>594</v>
      </c>
      <c r="N102" s="25"/>
      <c r="O102" s="25"/>
      <c r="P102" s="25"/>
      <c r="Q102" s="25"/>
      <c r="R102" s="25"/>
      <c r="S102" s="25"/>
    </row>
    <row r="103" spans="1:19" x14ac:dyDescent="0.2">
      <c r="A103" s="7"/>
      <c r="B103" s="7"/>
      <c r="C103" s="7"/>
      <c r="D103" s="24"/>
      <c r="I103" s="7"/>
      <c r="J103" s="7"/>
      <c r="K103" s="7"/>
      <c r="L103" s="7"/>
      <c r="M103" s="7"/>
      <c r="N103" s="7"/>
      <c r="O103" s="7"/>
      <c r="P103" s="7"/>
      <c r="Q103" s="7"/>
      <c r="R103" s="7"/>
    </row>
    <row r="104" spans="1:19" x14ac:dyDescent="0.2">
      <c r="A104" s="7" t="s">
        <v>1890</v>
      </c>
      <c r="B104" s="7" t="s">
        <v>49</v>
      </c>
      <c r="C104" s="7" t="s">
        <v>50</v>
      </c>
      <c r="D104" s="24"/>
      <c r="E104" s="7" t="s">
        <v>3006</v>
      </c>
      <c r="G104" s="7" t="s">
        <v>3007</v>
      </c>
      <c r="I104" s="7"/>
      <c r="K104" s="7" t="s">
        <v>17</v>
      </c>
      <c r="O104" s="8" t="s">
        <v>29</v>
      </c>
      <c r="R104" s="36" t="s">
        <v>586</v>
      </c>
    </row>
    <row r="105" spans="1:19" x14ac:dyDescent="0.2">
      <c r="A105" s="7" t="s">
        <v>22</v>
      </c>
      <c r="B105" s="7" t="s">
        <v>495</v>
      </c>
      <c r="C105" s="7" t="s">
        <v>496</v>
      </c>
      <c r="E105" s="7" t="s">
        <v>550</v>
      </c>
      <c r="G105" s="7" t="s">
        <v>550</v>
      </c>
      <c r="K105" s="7" t="s">
        <v>17</v>
      </c>
      <c r="O105" s="8" t="s">
        <v>543</v>
      </c>
    </row>
    <row r="106" spans="1:19" x14ac:dyDescent="0.2">
      <c r="A106" s="7" t="s">
        <v>1892</v>
      </c>
      <c r="B106" s="7" t="s">
        <v>622</v>
      </c>
      <c r="C106" s="7" t="s">
        <v>628</v>
      </c>
      <c r="D106" s="24" t="s">
        <v>627</v>
      </c>
      <c r="E106" s="7" t="s">
        <v>625</v>
      </c>
      <c r="F106" s="24" t="s">
        <v>626</v>
      </c>
      <c r="G106" s="7" t="s">
        <v>995</v>
      </c>
      <c r="H106" s="24" t="s">
        <v>3008</v>
      </c>
      <c r="K106" s="7" t="s">
        <v>17</v>
      </c>
      <c r="O106" s="8" t="s">
        <v>29</v>
      </c>
    </row>
    <row r="107" spans="1:19" x14ac:dyDescent="0.2">
      <c r="A107" s="25" t="s">
        <v>21</v>
      </c>
      <c r="B107" s="25" t="s">
        <v>314</v>
      </c>
      <c r="C107" s="25"/>
      <c r="D107" s="26"/>
      <c r="E107" s="25"/>
      <c r="F107" s="26"/>
      <c r="G107" s="25"/>
      <c r="H107" s="26"/>
      <c r="I107" s="25"/>
      <c r="J107" s="25"/>
      <c r="K107" s="25"/>
      <c r="L107" s="25"/>
      <c r="M107" s="25" t="s">
        <v>313</v>
      </c>
      <c r="N107" s="25"/>
      <c r="O107" s="25"/>
      <c r="P107" s="25"/>
      <c r="Q107" s="25"/>
      <c r="R107" s="25"/>
      <c r="S107" s="25"/>
    </row>
    <row r="108" spans="1:19" x14ac:dyDescent="0.2">
      <c r="A108" s="25" t="s">
        <v>21</v>
      </c>
      <c r="B108" s="25" t="s">
        <v>316</v>
      </c>
      <c r="C108" s="25"/>
      <c r="D108" s="26"/>
      <c r="E108" s="25"/>
      <c r="F108" s="26"/>
      <c r="G108" s="25"/>
      <c r="H108" s="26"/>
      <c r="I108" s="25"/>
      <c r="J108" s="25"/>
      <c r="K108" s="25"/>
      <c r="L108" s="25"/>
      <c r="M108" s="25" t="s">
        <v>315</v>
      </c>
      <c r="N108" s="25"/>
      <c r="O108" s="25"/>
      <c r="P108" s="25"/>
      <c r="Q108" s="25"/>
      <c r="R108" s="25"/>
      <c r="S108" s="25"/>
    </row>
    <row r="109" spans="1:19" x14ac:dyDescent="0.2">
      <c r="A109" s="30" t="s">
        <v>21</v>
      </c>
      <c r="B109" s="30" t="s">
        <v>312</v>
      </c>
      <c r="C109" s="30"/>
      <c r="D109" s="31"/>
      <c r="E109" s="30"/>
      <c r="F109" s="31"/>
      <c r="G109" s="30"/>
      <c r="H109" s="31"/>
      <c r="I109" s="30"/>
      <c r="J109" s="32"/>
      <c r="K109" s="30"/>
      <c r="L109" s="32"/>
      <c r="M109" s="30" t="s">
        <v>6298</v>
      </c>
      <c r="N109" s="32"/>
      <c r="O109" s="32"/>
      <c r="P109" s="32"/>
      <c r="Q109" s="32"/>
      <c r="R109" s="33"/>
      <c r="S109" s="32"/>
    </row>
    <row r="110" spans="1:19" x14ac:dyDescent="0.2">
      <c r="A110" s="25" t="s">
        <v>21</v>
      </c>
      <c r="B110" s="25" t="s">
        <v>623</v>
      </c>
      <c r="C110" s="25"/>
      <c r="D110" s="26"/>
      <c r="E110" s="25"/>
      <c r="F110" s="26"/>
      <c r="G110" s="25"/>
      <c r="H110" s="26"/>
      <c r="I110" s="25"/>
      <c r="J110" s="25"/>
      <c r="K110" s="25"/>
      <c r="L110" s="25"/>
      <c r="M110" s="25" t="s">
        <v>624</v>
      </c>
      <c r="N110" s="25"/>
      <c r="O110" s="25"/>
      <c r="P110" s="25"/>
      <c r="Q110" s="25"/>
      <c r="R110" s="25"/>
      <c r="S110" s="25"/>
    </row>
    <row r="111" spans="1:19" x14ac:dyDescent="0.2">
      <c r="A111" s="7" t="s">
        <v>28</v>
      </c>
      <c r="B111" s="7" t="s">
        <v>51</v>
      </c>
      <c r="C111" s="7" t="s">
        <v>431</v>
      </c>
      <c r="D111" s="24"/>
      <c r="E111" s="7" t="s">
        <v>324</v>
      </c>
      <c r="G111" s="7" t="s">
        <v>3052</v>
      </c>
      <c r="I111" s="7"/>
      <c r="J111" s="7" t="s">
        <v>4343</v>
      </c>
      <c r="K111" s="7" t="s">
        <v>17</v>
      </c>
      <c r="L111" s="7"/>
      <c r="M111" s="7"/>
      <c r="N111" s="7"/>
      <c r="O111" s="7" t="s">
        <v>29</v>
      </c>
      <c r="P111" s="7"/>
      <c r="Q111" s="7"/>
      <c r="R111" s="7"/>
      <c r="S111" s="7"/>
    </row>
    <row r="112" spans="1:19" x14ac:dyDescent="0.2">
      <c r="A112" s="7" t="s">
        <v>22</v>
      </c>
      <c r="B112" s="7" t="s">
        <v>330</v>
      </c>
      <c r="C112" s="7" t="s">
        <v>338</v>
      </c>
      <c r="D112" s="24" t="s">
        <v>331</v>
      </c>
      <c r="E112" s="7" t="s">
        <v>332</v>
      </c>
      <c r="F112" s="24" t="s">
        <v>333</v>
      </c>
      <c r="G112" s="7" t="s">
        <v>996</v>
      </c>
      <c r="H112" s="24" t="s">
        <v>997</v>
      </c>
      <c r="I112" s="7"/>
      <c r="J112" s="7"/>
      <c r="K112" s="7"/>
      <c r="L112" s="7"/>
      <c r="M112" s="7"/>
      <c r="N112" s="7"/>
      <c r="O112" s="7" t="s">
        <v>29</v>
      </c>
      <c r="P112" s="7"/>
      <c r="Q112" s="7"/>
      <c r="R112" s="7"/>
      <c r="S112" s="7"/>
    </row>
    <row r="114" spans="1:19" ht="15.75" x14ac:dyDescent="0.2">
      <c r="A114" s="41" t="s">
        <v>55</v>
      </c>
      <c r="B114" s="41" t="s">
        <v>1901</v>
      </c>
      <c r="C114" s="41" t="s">
        <v>3003</v>
      </c>
      <c r="D114" s="77"/>
      <c r="E114" s="41"/>
      <c r="F114" s="77"/>
      <c r="G114" s="41"/>
      <c r="H114" s="77"/>
      <c r="I114" s="41"/>
      <c r="J114" s="41"/>
      <c r="K114" s="41"/>
      <c r="L114" s="41" t="s">
        <v>583</v>
      </c>
      <c r="M114" s="41"/>
      <c r="N114" s="41"/>
      <c r="O114" s="41" t="s">
        <v>29</v>
      </c>
      <c r="P114" s="41"/>
      <c r="Q114" s="41"/>
      <c r="R114" s="41"/>
      <c r="S114" s="41"/>
    </row>
    <row r="115" spans="1:19" outlineLevel="1" x14ac:dyDescent="0.2">
      <c r="A115" s="25" t="s">
        <v>21</v>
      </c>
      <c r="B115" s="25" t="s">
        <v>1914</v>
      </c>
      <c r="C115" s="25"/>
      <c r="D115" s="26"/>
      <c r="E115" s="25"/>
      <c r="F115" s="26"/>
      <c r="G115" s="25"/>
      <c r="H115" s="26"/>
      <c r="I115" s="25"/>
      <c r="J115" s="25"/>
      <c r="K115" s="25"/>
      <c r="L115" s="25"/>
      <c r="M115" s="25" t="s">
        <v>548</v>
      </c>
      <c r="N115" s="25"/>
      <c r="O115" s="25"/>
      <c r="P115" s="25"/>
      <c r="Q115" s="25"/>
      <c r="R115" s="25"/>
      <c r="S115" s="25"/>
    </row>
    <row r="116" spans="1:19" outlineLevel="1" x14ac:dyDescent="0.2">
      <c r="A116" s="25" t="s">
        <v>21</v>
      </c>
      <c r="B116" s="25" t="s">
        <v>3085</v>
      </c>
      <c r="C116" s="25"/>
      <c r="D116" s="26"/>
      <c r="E116" s="25"/>
      <c r="F116" s="26"/>
      <c r="G116" s="25"/>
      <c r="H116" s="26"/>
      <c r="I116" s="25"/>
      <c r="J116" s="25"/>
      <c r="K116" s="25"/>
      <c r="L116" s="25"/>
      <c r="M116" s="25" t="s">
        <v>254</v>
      </c>
      <c r="N116" s="25"/>
      <c r="O116" s="25"/>
      <c r="P116" s="25"/>
      <c r="Q116" s="25"/>
      <c r="R116" s="25"/>
      <c r="S116" s="25"/>
    </row>
    <row r="117" spans="1:19" outlineLevel="1" x14ac:dyDescent="0.2">
      <c r="A117" s="25" t="s">
        <v>21</v>
      </c>
      <c r="B117" s="25" t="s">
        <v>326</v>
      </c>
      <c r="C117" s="25"/>
      <c r="D117" s="26"/>
      <c r="E117" s="25"/>
      <c r="F117" s="26"/>
      <c r="G117" s="25"/>
      <c r="H117" s="26"/>
      <c r="I117" s="25"/>
      <c r="J117" s="25"/>
      <c r="K117" s="25"/>
      <c r="L117" s="25"/>
      <c r="M117" s="25" t="s">
        <v>3211</v>
      </c>
      <c r="N117" s="25"/>
      <c r="O117" s="25"/>
      <c r="P117" s="25"/>
      <c r="Q117" s="25"/>
      <c r="R117" s="25"/>
      <c r="S117" s="25"/>
    </row>
    <row r="118" spans="1:19" outlineLevel="1" x14ac:dyDescent="0.2">
      <c r="A118" s="30" t="s">
        <v>21</v>
      </c>
      <c r="B118" s="30" t="s">
        <v>325</v>
      </c>
      <c r="C118" s="32"/>
      <c r="D118" s="78"/>
      <c r="E118" s="30"/>
      <c r="F118" s="31"/>
      <c r="G118" s="30"/>
      <c r="H118" s="31"/>
      <c r="I118" s="32"/>
      <c r="J118" s="32"/>
      <c r="K118" s="32"/>
      <c r="L118" s="32"/>
      <c r="M118" s="30" t="s">
        <v>6299</v>
      </c>
      <c r="N118" s="32"/>
      <c r="O118" s="32"/>
      <c r="P118" s="32"/>
      <c r="Q118" s="32"/>
      <c r="R118" s="32"/>
      <c r="S118" s="32"/>
    </row>
    <row r="119" spans="1:19" outlineLevel="1" x14ac:dyDescent="0.2">
      <c r="A119" s="25" t="s">
        <v>21</v>
      </c>
      <c r="B119" s="25" t="s">
        <v>327</v>
      </c>
      <c r="C119" s="25"/>
      <c r="D119" s="26"/>
      <c r="E119" s="25"/>
      <c r="F119" s="26"/>
      <c r="G119" s="25"/>
      <c r="H119" s="26"/>
      <c r="I119" s="25"/>
      <c r="J119" s="25"/>
      <c r="K119" s="25"/>
      <c r="L119" s="25"/>
      <c r="M119" s="25" t="s">
        <v>3212</v>
      </c>
      <c r="N119" s="25"/>
      <c r="O119" s="25"/>
      <c r="P119" s="25"/>
      <c r="Q119" s="25"/>
      <c r="R119" s="25"/>
      <c r="S119" s="25"/>
    </row>
    <row r="120" spans="1:19" outlineLevel="1" x14ac:dyDescent="0.2">
      <c r="A120" s="30" t="s">
        <v>21</v>
      </c>
      <c r="B120" s="30" t="s">
        <v>328</v>
      </c>
      <c r="C120" s="32"/>
      <c r="D120" s="78"/>
      <c r="E120" s="30"/>
      <c r="F120" s="31"/>
      <c r="G120" s="30"/>
      <c r="H120" s="31"/>
      <c r="I120" s="32"/>
      <c r="J120" s="32"/>
      <c r="K120" s="32"/>
      <c r="L120" s="32"/>
      <c r="M120" s="30" t="s">
        <v>6300</v>
      </c>
      <c r="N120" s="32"/>
      <c r="O120" s="32"/>
      <c r="P120" s="32"/>
      <c r="Q120" s="32"/>
      <c r="R120" s="32"/>
      <c r="S120" s="32"/>
    </row>
    <row r="121" spans="1:19" outlineLevel="1" x14ac:dyDescent="0.2">
      <c r="A121" s="25" t="s">
        <v>21</v>
      </c>
      <c r="B121" s="25" t="s">
        <v>329</v>
      </c>
      <c r="C121" s="25"/>
      <c r="D121" s="26"/>
      <c r="E121" s="25"/>
      <c r="F121" s="26"/>
      <c r="G121" s="25"/>
      <c r="H121" s="26"/>
      <c r="I121" s="25"/>
      <c r="J121" s="25"/>
      <c r="K121" s="25"/>
      <c r="L121" s="25"/>
      <c r="M121" s="25" t="s">
        <v>3083</v>
      </c>
      <c r="N121" s="25"/>
      <c r="O121" s="25"/>
      <c r="P121" s="25"/>
      <c r="Q121" s="25"/>
      <c r="R121" s="25"/>
      <c r="S121" s="25"/>
    </row>
    <row r="122" spans="1:19" outlineLevel="1" x14ac:dyDescent="0.2">
      <c r="A122" s="7"/>
      <c r="B122" s="7"/>
      <c r="M122" s="7"/>
    </row>
    <row r="123" spans="1:19" outlineLevel="1" x14ac:dyDescent="0.2">
      <c r="A123" s="7" t="s">
        <v>1897</v>
      </c>
      <c r="B123" s="7" t="s">
        <v>1917</v>
      </c>
      <c r="C123" s="7" t="s">
        <v>420</v>
      </c>
      <c r="D123" s="24"/>
      <c r="E123" s="7" t="s">
        <v>421</v>
      </c>
      <c r="G123" s="7" t="s">
        <v>1011</v>
      </c>
      <c r="I123" s="7"/>
      <c r="J123" s="7"/>
      <c r="K123" s="7" t="s">
        <v>17</v>
      </c>
      <c r="L123" s="7"/>
      <c r="M123" s="7"/>
      <c r="N123" s="7"/>
      <c r="O123" s="7" t="s">
        <v>578</v>
      </c>
      <c r="P123" s="7"/>
      <c r="Q123" s="7"/>
      <c r="R123" s="7"/>
      <c r="S123" s="7"/>
    </row>
    <row r="124" spans="1:19" s="80" customFormat="1" outlineLevel="1" x14ac:dyDescent="0.2">
      <c r="A124" s="7" t="s">
        <v>3090</v>
      </c>
      <c r="B124" s="37" t="s">
        <v>3250</v>
      </c>
      <c r="C124" s="7" t="s">
        <v>336</v>
      </c>
      <c r="D124" s="79"/>
      <c r="E124" s="37" t="s">
        <v>334</v>
      </c>
      <c r="F124" s="79"/>
      <c r="G124" s="37" t="s">
        <v>3009</v>
      </c>
      <c r="H124" s="79"/>
      <c r="I124" s="37"/>
      <c r="J124" s="37"/>
      <c r="K124" s="37" t="s">
        <v>17</v>
      </c>
      <c r="L124" s="37"/>
      <c r="M124" s="37"/>
      <c r="N124" s="37"/>
      <c r="O124" s="37" t="s">
        <v>1918</v>
      </c>
      <c r="P124" s="7"/>
      <c r="Q124" s="37"/>
      <c r="R124" s="37"/>
      <c r="S124" s="37"/>
    </row>
    <row r="125" spans="1:19" outlineLevel="1" x14ac:dyDescent="0.2">
      <c r="A125" s="7" t="s">
        <v>26</v>
      </c>
      <c r="B125" s="37" t="s">
        <v>3251</v>
      </c>
      <c r="C125" s="7" t="s">
        <v>320</v>
      </c>
      <c r="D125" s="24"/>
      <c r="E125" s="7" t="s">
        <v>61</v>
      </c>
      <c r="G125" s="7" t="s">
        <v>1012</v>
      </c>
      <c r="I125" s="63"/>
      <c r="J125" s="7"/>
      <c r="K125" s="7" t="s">
        <v>17</v>
      </c>
      <c r="L125" s="7"/>
      <c r="M125" s="7"/>
      <c r="N125" s="7"/>
      <c r="O125" s="37" t="s">
        <v>3252</v>
      </c>
      <c r="P125" s="7"/>
      <c r="Q125" s="7"/>
      <c r="R125" s="7"/>
      <c r="S125" s="7"/>
    </row>
    <row r="126" spans="1:19" s="80" customFormat="1" outlineLevel="1" x14ac:dyDescent="0.2">
      <c r="A126" s="37" t="s">
        <v>426</v>
      </c>
      <c r="B126" s="37" t="s">
        <v>427</v>
      </c>
      <c r="C126" s="7" t="s">
        <v>428</v>
      </c>
      <c r="D126" s="79"/>
      <c r="E126" s="37" t="s">
        <v>3213</v>
      </c>
      <c r="F126" s="79"/>
      <c r="G126" s="37" t="s">
        <v>3214</v>
      </c>
      <c r="H126" s="79"/>
      <c r="I126" s="37"/>
      <c r="J126" s="37"/>
      <c r="K126" s="37" t="s">
        <v>17</v>
      </c>
      <c r="L126" s="37"/>
      <c r="M126" s="37"/>
      <c r="N126" s="37"/>
      <c r="O126" s="37" t="s">
        <v>1919</v>
      </c>
      <c r="P126" s="7"/>
      <c r="Q126" s="37"/>
      <c r="R126" s="37"/>
      <c r="S126" s="37"/>
    </row>
    <row r="127" spans="1:19" s="80" customFormat="1" outlineLevel="1" x14ac:dyDescent="0.2">
      <c r="A127" s="37" t="s">
        <v>553</v>
      </c>
      <c r="B127" s="37" t="s">
        <v>560</v>
      </c>
      <c r="C127" s="7" t="s">
        <v>561</v>
      </c>
      <c r="D127" s="79"/>
      <c r="E127" s="37" t="s">
        <v>841</v>
      </c>
      <c r="F127" s="79"/>
      <c r="G127" s="37" t="s">
        <v>3010</v>
      </c>
      <c r="H127" s="79"/>
      <c r="I127" s="37"/>
      <c r="J127" s="37"/>
      <c r="K127" s="37" t="s">
        <v>17</v>
      </c>
      <c r="L127" s="37"/>
      <c r="M127" s="37"/>
      <c r="N127" s="37"/>
      <c r="O127" s="37" t="s">
        <v>1920</v>
      </c>
      <c r="P127" s="7"/>
      <c r="Q127" s="37"/>
      <c r="R127" s="37"/>
      <c r="S127" s="37"/>
    </row>
    <row r="128" spans="1:19" outlineLevel="1" x14ac:dyDescent="0.2">
      <c r="A128" s="25" t="s">
        <v>21</v>
      </c>
      <c r="B128" s="25" t="s">
        <v>564</v>
      </c>
      <c r="C128" s="25"/>
      <c r="D128" s="26"/>
      <c r="E128" s="25"/>
      <c r="F128" s="26"/>
      <c r="G128" s="25"/>
      <c r="H128" s="26"/>
      <c r="I128" s="25"/>
      <c r="J128" s="25"/>
      <c r="K128" s="25"/>
      <c r="L128" s="25"/>
      <c r="M128" s="25" t="s">
        <v>565</v>
      </c>
      <c r="N128" s="25"/>
      <c r="O128" s="25"/>
      <c r="P128" s="25"/>
      <c r="Q128" s="25"/>
      <c r="R128" s="25"/>
      <c r="S128" s="25"/>
    </row>
    <row r="129" spans="1:19" ht="15.75" x14ac:dyDescent="0.2">
      <c r="A129" s="41" t="s">
        <v>56</v>
      </c>
      <c r="B129" s="41" t="s">
        <v>1901</v>
      </c>
      <c r="C129" s="41"/>
      <c r="D129" s="77"/>
      <c r="E129" s="41"/>
      <c r="F129" s="77"/>
      <c r="G129" s="41"/>
      <c r="H129" s="77"/>
      <c r="I129" s="41"/>
      <c r="J129" s="41"/>
      <c r="K129" s="41"/>
      <c r="L129" s="41"/>
      <c r="M129" s="41"/>
      <c r="N129" s="41"/>
      <c r="O129" s="41"/>
      <c r="P129" s="41"/>
      <c r="Q129" s="41"/>
      <c r="R129" s="41"/>
      <c r="S129" s="41"/>
    </row>
    <row r="130" spans="1:19" x14ac:dyDescent="0.2">
      <c r="A130" s="7"/>
      <c r="B130" s="7"/>
      <c r="C130" s="7"/>
      <c r="D130" s="24"/>
      <c r="J130" s="7"/>
      <c r="K130" s="7"/>
    </row>
    <row r="131" spans="1:19" x14ac:dyDescent="0.2">
      <c r="A131" s="7" t="s">
        <v>1886</v>
      </c>
      <c r="B131" s="81" t="s">
        <v>3086</v>
      </c>
      <c r="C131" s="8" t="s">
        <v>337</v>
      </c>
      <c r="D131" s="24"/>
      <c r="E131" s="7" t="s">
        <v>295</v>
      </c>
      <c r="G131" s="7" t="s">
        <v>1013</v>
      </c>
      <c r="I131" s="7"/>
      <c r="K131" s="7" t="s">
        <v>17</v>
      </c>
      <c r="O131" s="8" t="s">
        <v>29</v>
      </c>
      <c r="R131" s="36"/>
    </row>
    <row r="132" spans="1:19" x14ac:dyDescent="0.2">
      <c r="A132" s="25" t="s">
        <v>21</v>
      </c>
      <c r="B132" s="25" t="s">
        <v>3261</v>
      </c>
      <c r="C132" s="25"/>
      <c r="D132" s="26"/>
      <c r="E132" s="25"/>
      <c r="F132" s="26"/>
      <c r="G132" s="25"/>
      <c r="H132" s="26"/>
      <c r="I132" s="25"/>
      <c r="J132" s="25"/>
      <c r="K132" s="25"/>
      <c r="L132" s="25"/>
      <c r="M132" s="25" t="s">
        <v>3087</v>
      </c>
      <c r="N132" s="25"/>
      <c r="O132" s="25"/>
      <c r="P132" s="25"/>
      <c r="Q132" s="25"/>
      <c r="R132" s="25"/>
      <c r="S132" s="25"/>
    </row>
    <row r="133" spans="1:19" x14ac:dyDescent="0.2">
      <c r="A133" s="25"/>
      <c r="B133" s="25"/>
      <c r="C133" s="25"/>
      <c r="D133" s="26"/>
      <c r="E133" s="25"/>
      <c r="F133" s="26"/>
      <c r="G133" s="25"/>
      <c r="H133" s="26"/>
      <c r="I133" s="25"/>
      <c r="J133" s="25"/>
      <c r="K133" s="25"/>
      <c r="L133" s="25"/>
      <c r="M133" s="25"/>
      <c r="N133" s="25"/>
      <c r="O133" s="25"/>
      <c r="P133" s="25"/>
      <c r="Q133" s="25"/>
      <c r="R133" s="25"/>
      <c r="S133" s="25"/>
    </row>
    <row r="134" spans="1:19" ht="15.75" x14ac:dyDescent="0.2">
      <c r="A134" s="41" t="s">
        <v>55</v>
      </c>
      <c r="B134" s="41" t="s">
        <v>1905</v>
      </c>
      <c r="C134" s="41" t="s">
        <v>303</v>
      </c>
      <c r="D134" s="77"/>
      <c r="E134" s="41" t="s">
        <v>304</v>
      </c>
      <c r="F134" s="77"/>
      <c r="G134" s="41" t="s">
        <v>1014</v>
      </c>
      <c r="H134" s="77"/>
      <c r="I134" s="41"/>
      <c r="J134" s="41"/>
      <c r="K134" s="41"/>
      <c r="L134" s="41"/>
      <c r="M134" s="41"/>
      <c r="N134" s="41"/>
      <c r="O134" s="41" t="s">
        <v>3088</v>
      </c>
      <c r="P134" s="41"/>
      <c r="Q134" s="41"/>
      <c r="R134" s="41"/>
      <c r="S134" s="41"/>
    </row>
    <row r="135" spans="1:19" outlineLevel="1" x14ac:dyDescent="0.2">
      <c r="A135" s="25" t="s">
        <v>21</v>
      </c>
      <c r="B135" s="25" t="s">
        <v>1916</v>
      </c>
      <c r="C135" s="25"/>
      <c r="D135" s="26"/>
      <c r="E135" s="25"/>
      <c r="F135" s="26"/>
      <c r="G135" s="25"/>
      <c r="H135" s="26"/>
      <c r="I135" s="25"/>
      <c r="J135" s="25"/>
      <c r="K135" s="25"/>
      <c r="L135" s="25"/>
      <c r="M135" s="25" t="s">
        <v>548</v>
      </c>
      <c r="N135" s="25"/>
      <c r="O135" s="25"/>
      <c r="P135" s="25"/>
      <c r="Q135" s="25"/>
      <c r="R135" s="25"/>
      <c r="S135" s="25"/>
    </row>
    <row r="136" spans="1:19" outlineLevel="1" x14ac:dyDescent="0.2">
      <c r="A136" s="25" t="s">
        <v>21</v>
      </c>
      <c r="B136" s="25" t="s">
        <v>3084</v>
      </c>
      <c r="C136" s="25"/>
      <c r="D136" s="26"/>
      <c r="E136" s="25"/>
      <c r="F136" s="26"/>
      <c r="G136" s="25"/>
      <c r="H136" s="26"/>
      <c r="I136" s="25"/>
      <c r="J136" s="25"/>
      <c r="K136" s="25"/>
      <c r="L136" s="25"/>
      <c r="M136" s="25" t="s">
        <v>573</v>
      </c>
      <c r="N136" s="25"/>
      <c r="O136" s="25"/>
      <c r="P136" s="25"/>
      <c r="Q136" s="25"/>
      <c r="R136" s="25"/>
      <c r="S136" s="25"/>
    </row>
    <row r="137" spans="1:19" s="80" customFormat="1" outlineLevel="1" x14ac:dyDescent="0.2">
      <c r="A137" s="37" t="s">
        <v>26</v>
      </c>
      <c r="B137" s="37" t="s">
        <v>1</v>
      </c>
      <c r="C137" s="37" t="s">
        <v>297</v>
      </c>
      <c r="D137" s="79"/>
      <c r="E137" s="37" t="s">
        <v>298</v>
      </c>
      <c r="F137" s="79"/>
      <c r="G137" s="37" t="s">
        <v>1015</v>
      </c>
      <c r="H137" s="79"/>
      <c r="I137" s="37"/>
      <c r="J137" s="37"/>
      <c r="K137" s="37" t="s">
        <v>17</v>
      </c>
      <c r="L137" s="37"/>
      <c r="M137" s="37"/>
      <c r="N137" s="37"/>
      <c r="O137" s="37"/>
      <c r="P137" s="7"/>
      <c r="Q137" s="37"/>
      <c r="R137" s="37"/>
      <c r="S137" s="37"/>
    </row>
    <row r="138" spans="1:19" outlineLevel="1" x14ac:dyDescent="0.2">
      <c r="A138" s="37" t="s">
        <v>1892</v>
      </c>
      <c r="B138" s="37" t="s">
        <v>621</v>
      </c>
      <c r="C138" s="37" t="s">
        <v>296</v>
      </c>
      <c r="D138" s="79"/>
      <c r="E138" s="37" t="s">
        <v>1915</v>
      </c>
      <c r="F138" s="79"/>
      <c r="G138" s="37" t="s">
        <v>1016</v>
      </c>
      <c r="H138" s="79"/>
      <c r="K138" s="37" t="s">
        <v>17</v>
      </c>
      <c r="P138" s="7"/>
    </row>
    <row r="139" spans="1:19" outlineLevel="1" x14ac:dyDescent="0.2">
      <c r="A139" s="7" t="s">
        <v>553</v>
      </c>
      <c r="B139" s="7" t="s">
        <v>554</v>
      </c>
      <c r="C139" s="7" t="s">
        <v>555</v>
      </c>
      <c r="D139" s="24"/>
      <c r="E139" s="7" t="s">
        <v>556</v>
      </c>
      <c r="G139" s="7" t="s">
        <v>1017</v>
      </c>
      <c r="I139" s="7"/>
      <c r="J139" s="7" t="s">
        <v>557</v>
      </c>
      <c r="K139" s="7" t="s">
        <v>17</v>
      </c>
      <c r="P139" s="7"/>
    </row>
    <row r="140" spans="1:19" outlineLevel="1" x14ac:dyDescent="0.2">
      <c r="A140" s="25" t="s">
        <v>21</v>
      </c>
      <c r="B140" s="25" t="s">
        <v>4347</v>
      </c>
      <c r="C140" s="25"/>
      <c r="D140" s="26"/>
      <c r="E140" s="25"/>
      <c r="F140" s="26"/>
      <c r="G140" s="25"/>
      <c r="H140" s="26"/>
      <c r="I140" s="25"/>
      <c r="J140" s="25"/>
      <c r="K140" s="25"/>
      <c r="L140" s="25"/>
      <c r="M140" s="25" t="s">
        <v>4348</v>
      </c>
      <c r="N140" s="25"/>
      <c r="O140" s="25"/>
      <c r="P140" s="25"/>
      <c r="Q140" s="25"/>
      <c r="R140" s="25"/>
      <c r="S140" s="25"/>
    </row>
    <row r="141" spans="1:19" outlineLevel="1" x14ac:dyDescent="0.2">
      <c r="A141" s="25" t="s">
        <v>21</v>
      </c>
      <c r="B141" s="25" t="s">
        <v>551</v>
      </c>
      <c r="C141" s="25"/>
      <c r="D141" s="26"/>
      <c r="E141" s="25"/>
      <c r="F141" s="26"/>
      <c r="G141" s="25"/>
      <c r="H141" s="26"/>
      <c r="I141" s="25"/>
      <c r="J141" s="25"/>
      <c r="K141" s="25"/>
      <c r="L141" s="25"/>
      <c r="M141" s="25" t="s">
        <v>552</v>
      </c>
      <c r="N141" s="25"/>
      <c r="O141" s="25"/>
      <c r="P141" s="25"/>
      <c r="Q141" s="25"/>
      <c r="R141" s="25"/>
      <c r="S141" s="25"/>
    </row>
    <row r="142" spans="1:19" outlineLevel="1" x14ac:dyDescent="0.2">
      <c r="A142" s="7" t="s">
        <v>28</v>
      </c>
      <c r="B142" s="37" t="s">
        <v>307</v>
      </c>
      <c r="C142" s="37" t="s">
        <v>558</v>
      </c>
      <c r="D142" s="79"/>
      <c r="E142" s="37" t="s">
        <v>559</v>
      </c>
      <c r="F142" s="79"/>
      <c r="G142" s="37" t="s">
        <v>1018</v>
      </c>
      <c r="H142" s="79"/>
      <c r="J142" s="7" t="s">
        <v>305</v>
      </c>
      <c r="K142" s="37" t="s">
        <v>17</v>
      </c>
      <c r="P142" s="7"/>
    </row>
    <row r="143" spans="1:19" outlineLevel="1" x14ac:dyDescent="0.2">
      <c r="A143" s="7" t="s">
        <v>1899</v>
      </c>
      <c r="B143" s="37" t="s">
        <v>317</v>
      </c>
      <c r="C143" s="7" t="s">
        <v>318</v>
      </c>
      <c r="D143" s="24"/>
      <c r="E143" s="7" t="s">
        <v>319</v>
      </c>
      <c r="G143" s="7" t="s">
        <v>1019</v>
      </c>
      <c r="I143" s="7"/>
      <c r="K143" s="37" t="s">
        <v>17</v>
      </c>
      <c r="P143" s="7"/>
    </row>
    <row r="144" spans="1:19" ht="15.75" x14ac:dyDescent="0.2">
      <c r="A144" s="41" t="s">
        <v>56</v>
      </c>
      <c r="B144" s="41"/>
      <c r="C144" s="41"/>
      <c r="D144" s="77"/>
      <c r="E144" s="41"/>
      <c r="F144" s="77"/>
      <c r="G144" s="41"/>
      <c r="H144" s="77"/>
      <c r="I144" s="41"/>
      <c r="J144" s="41"/>
      <c r="K144" s="41"/>
      <c r="L144" s="41"/>
      <c r="M144" s="41"/>
      <c r="N144" s="41"/>
      <c r="O144" s="41"/>
      <c r="P144" s="41"/>
      <c r="Q144" s="41"/>
      <c r="R144" s="41"/>
      <c r="S144" s="41"/>
    </row>
    <row r="145" spans="1:19" x14ac:dyDescent="0.2">
      <c r="A145" s="7"/>
      <c r="B145" s="7"/>
      <c r="C145" s="7"/>
      <c r="D145" s="24"/>
      <c r="I145" s="7"/>
      <c r="L145" s="7"/>
      <c r="O145" s="7"/>
    </row>
    <row r="146" spans="1:19" x14ac:dyDescent="0.2">
      <c r="A146" s="25" t="s">
        <v>21</v>
      </c>
      <c r="B146" s="25" t="s">
        <v>32</v>
      </c>
      <c r="C146" s="25"/>
      <c r="D146" s="26"/>
      <c r="E146" s="25"/>
      <c r="F146" s="26"/>
      <c r="G146" s="25"/>
      <c r="H146" s="26"/>
      <c r="I146" s="25"/>
      <c r="J146" s="25"/>
      <c r="K146" s="25"/>
      <c r="L146" s="25"/>
      <c r="M146" s="25" t="s">
        <v>1921</v>
      </c>
      <c r="N146" s="25"/>
      <c r="O146" s="25"/>
      <c r="P146" s="25"/>
      <c r="Q146" s="25"/>
      <c r="R146" s="25"/>
      <c r="S146" s="25"/>
    </row>
    <row r="147" spans="1:19" outlineLevel="1" x14ac:dyDescent="0.2">
      <c r="A147" s="25" t="s">
        <v>21</v>
      </c>
      <c r="B147" s="25" t="s">
        <v>33</v>
      </c>
      <c r="C147" s="25"/>
      <c r="D147" s="26"/>
      <c r="E147" s="25"/>
      <c r="F147" s="26"/>
      <c r="G147" s="25"/>
      <c r="H147" s="26"/>
      <c r="I147" s="25"/>
      <c r="J147" s="25"/>
      <c r="K147" s="25"/>
      <c r="L147" s="25"/>
      <c r="M147" s="25" t="s">
        <v>1922</v>
      </c>
      <c r="N147" s="25"/>
      <c r="O147" s="25"/>
      <c r="P147" s="25"/>
      <c r="Q147" s="25"/>
      <c r="R147" s="25"/>
      <c r="S147" s="25"/>
    </row>
    <row r="148" spans="1:19" outlineLevel="1" x14ac:dyDescent="0.2">
      <c r="A148" s="25" t="s">
        <v>21</v>
      </c>
      <c r="B148" s="25" t="s">
        <v>34</v>
      </c>
      <c r="C148" s="25"/>
      <c r="D148" s="26"/>
      <c r="E148" s="25"/>
      <c r="F148" s="26"/>
      <c r="G148" s="25"/>
      <c r="H148" s="26"/>
      <c r="I148" s="25"/>
      <c r="J148" s="25"/>
      <c r="K148" s="25"/>
      <c r="L148" s="25"/>
      <c r="M148" s="25" t="s">
        <v>1923</v>
      </c>
      <c r="N148" s="25"/>
      <c r="O148" s="25"/>
      <c r="P148" s="25"/>
      <c r="Q148" s="25"/>
      <c r="R148" s="25"/>
      <c r="S148" s="25"/>
    </row>
    <row r="149" spans="1:19" outlineLevel="1" x14ac:dyDescent="0.2">
      <c r="A149" s="25" t="s">
        <v>21</v>
      </c>
      <c r="B149" s="25" t="s">
        <v>35</v>
      </c>
      <c r="C149" s="25"/>
      <c r="D149" s="26"/>
      <c r="E149" s="25"/>
      <c r="F149" s="26"/>
      <c r="G149" s="25"/>
      <c r="H149" s="26"/>
      <c r="I149" s="25"/>
      <c r="J149" s="25"/>
      <c r="K149" s="25"/>
      <c r="L149" s="25"/>
      <c r="M149" s="25" t="s">
        <v>1924</v>
      </c>
      <c r="N149" s="25"/>
      <c r="O149" s="25"/>
      <c r="P149" s="25"/>
      <c r="Q149" s="25"/>
      <c r="R149" s="25"/>
      <c r="S149" s="25"/>
    </row>
    <row r="150" spans="1:19" outlineLevel="1" x14ac:dyDescent="0.2">
      <c r="A150" s="25" t="s">
        <v>21</v>
      </c>
      <c r="B150" s="25" t="s">
        <v>36</v>
      </c>
      <c r="C150" s="25"/>
      <c r="D150" s="26"/>
      <c r="E150" s="25"/>
      <c r="F150" s="26"/>
      <c r="G150" s="25"/>
      <c r="H150" s="26"/>
      <c r="I150" s="25"/>
      <c r="J150" s="25"/>
      <c r="K150" s="25"/>
      <c r="L150" s="25"/>
      <c r="M150" s="25" t="s">
        <v>1925</v>
      </c>
      <c r="N150" s="25"/>
      <c r="O150" s="25"/>
      <c r="P150" s="25"/>
      <c r="Q150" s="25"/>
      <c r="R150" s="25"/>
      <c r="S150" s="25"/>
    </row>
    <row r="151" spans="1:19" outlineLevel="1" x14ac:dyDescent="0.2">
      <c r="A151" s="25" t="s">
        <v>21</v>
      </c>
      <c r="B151" s="25" t="s">
        <v>37</v>
      </c>
      <c r="C151" s="25"/>
      <c r="D151" s="26"/>
      <c r="E151" s="25"/>
      <c r="F151" s="26"/>
      <c r="G151" s="25"/>
      <c r="H151" s="26"/>
      <c r="I151" s="25"/>
      <c r="J151" s="25"/>
      <c r="K151" s="25"/>
      <c r="L151" s="25"/>
      <c r="M151" s="25" t="s">
        <v>1926</v>
      </c>
      <c r="N151" s="25"/>
      <c r="O151" s="25"/>
      <c r="P151" s="25"/>
      <c r="Q151" s="25"/>
      <c r="R151" s="25"/>
      <c r="S151" s="25"/>
    </row>
    <row r="152" spans="1:19" outlineLevel="1" x14ac:dyDescent="0.2">
      <c r="A152" s="25" t="s">
        <v>21</v>
      </c>
      <c r="B152" s="25" t="s">
        <v>38</v>
      </c>
      <c r="C152" s="25"/>
      <c r="D152" s="26"/>
      <c r="E152" s="25"/>
      <c r="F152" s="26"/>
      <c r="G152" s="25"/>
      <c r="H152" s="26"/>
      <c r="I152" s="25"/>
      <c r="J152" s="25"/>
      <c r="K152" s="25"/>
      <c r="L152" s="25"/>
      <c r="M152" s="25" t="s">
        <v>1927</v>
      </c>
      <c r="N152" s="25"/>
      <c r="O152" s="25"/>
      <c r="P152" s="25"/>
      <c r="Q152" s="25"/>
      <c r="R152" s="25"/>
      <c r="S152" s="25"/>
    </row>
    <row r="153" spans="1:19" outlineLevel="1" x14ac:dyDescent="0.2">
      <c r="A153" s="25" t="s">
        <v>21</v>
      </c>
      <c r="B153" s="25" t="s">
        <v>39</v>
      </c>
      <c r="C153" s="25"/>
      <c r="D153" s="26"/>
      <c r="E153" s="25"/>
      <c r="F153" s="26"/>
      <c r="G153" s="25"/>
      <c r="H153" s="26"/>
      <c r="I153" s="25"/>
      <c r="J153" s="25"/>
      <c r="K153" s="25"/>
      <c r="L153" s="25"/>
      <c r="M153" s="25" t="s">
        <v>1928</v>
      </c>
      <c r="N153" s="25"/>
      <c r="O153" s="25"/>
      <c r="P153" s="25"/>
      <c r="Q153" s="25"/>
      <c r="R153" s="25"/>
      <c r="S153" s="25"/>
    </row>
    <row r="154" spans="1:19" outlineLevel="1" x14ac:dyDescent="0.2">
      <c r="A154" s="25" t="s">
        <v>21</v>
      </c>
      <c r="B154" s="25" t="s">
        <v>40</v>
      </c>
      <c r="C154" s="25"/>
      <c r="D154" s="26"/>
      <c r="E154" s="25"/>
      <c r="F154" s="26"/>
      <c r="G154" s="25"/>
      <c r="H154" s="26"/>
      <c r="I154" s="25"/>
      <c r="J154" s="25"/>
      <c r="K154" s="25"/>
      <c r="L154" s="25"/>
      <c r="M154" s="25" t="s">
        <v>1929</v>
      </c>
      <c r="N154" s="25"/>
      <c r="O154" s="25"/>
      <c r="P154" s="25"/>
      <c r="Q154" s="25"/>
      <c r="R154" s="25"/>
      <c r="S154" s="25"/>
    </row>
    <row r="155" spans="1:19" outlineLevel="1" x14ac:dyDescent="0.2">
      <c r="A155" s="25" t="s">
        <v>21</v>
      </c>
      <c r="B155" s="25" t="s">
        <v>41</v>
      </c>
      <c r="C155" s="25"/>
      <c r="D155" s="26"/>
      <c r="E155" s="25"/>
      <c r="F155" s="26"/>
      <c r="G155" s="25"/>
      <c r="H155" s="26"/>
      <c r="I155" s="25"/>
      <c r="J155" s="25"/>
      <c r="K155" s="25"/>
      <c r="L155" s="25"/>
      <c r="M155" s="25" t="s">
        <v>1930</v>
      </c>
      <c r="N155" s="25"/>
      <c r="O155" s="25"/>
      <c r="P155" s="25"/>
      <c r="Q155" s="25"/>
      <c r="R155" s="25"/>
      <c r="S155" s="25"/>
    </row>
    <row r="156" spans="1:19" outlineLevel="1" x14ac:dyDescent="0.2">
      <c r="A156" s="25" t="s">
        <v>21</v>
      </c>
      <c r="B156" s="25" t="s">
        <v>42</v>
      </c>
      <c r="C156" s="25"/>
      <c r="D156" s="26"/>
      <c r="E156" s="25"/>
      <c r="F156" s="26"/>
      <c r="G156" s="25"/>
      <c r="H156" s="26"/>
      <c r="I156" s="25"/>
      <c r="J156" s="25"/>
      <c r="K156" s="25"/>
      <c r="L156" s="25"/>
      <c r="M156" s="25" t="s">
        <v>1931</v>
      </c>
      <c r="N156" s="25"/>
      <c r="O156" s="25"/>
      <c r="P156" s="25"/>
      <c r="Q156" s="25"/>
      <c r="R156" s="25"/>
      <c r="S156" s="25"/>
    </row>
    <row r="157" spans="1:19" outlineLevel="1" x14ac:dyDescent="0.2">
      <c r="A157" s="25" t="s">
        <v>21</v>
      </c>
      <c r="B157" s="25" t="s">
        <v>43</v>
      </c>
      <c r="C157" s="25"/>
      <c r="D157" s="26"/>
      <c r="E157" s="25"/>
      <c r="F157" s="26"/>
      <c r="G157" s="25"/>
      <c r="H157" s="26"/>
      <c r="I157" s="25"/>
      <c r="J157" s="25"/>
      <c r="K157" s="25"/>
      <c r="L157" s="25"/>
      <c r="M157" s="25" t="s">
        <v>1932</v>
      </c>
      <c r="N157" s="25"/>
      <c r="O157" s="25"/>
      <c r="P157" s="25"/>
      <c r="Q157" s="25"/>
      <c r="R157" s="25"/>
      <c r="S157" s="25"/>
    </row>
    <row r="158" spans="1:19" outlineLevel="1" x14ac:dyDescent="0.2">
      <c r="A158" s="25" t="s">
        <v>21</v>
      </c>
      <c r="B158" s="25" t="s">
        <v>44</v>
      </c>
      <c r="C158" s="25"/>
      <c r="D158" s="26"/>
      <c r="E158" s="25"/>
      <c r="F158" s="26"/>
      <c r="G158" s="25"/>
      <c r="H158" s="26"/>
      <c r="I158" s="25"/>
      <c r="J158" s="25"/>
      <c r="K158" s="25"/>
      <c r="L158" s="25"/>
      <c r="M158" s="25" t="s">
        <v>1933</v>
      </c>
      <c r="N158" s="25"/>
      <c r="O158" s="25"/>
      <c r="P158" s="25"/>
      <c r="Q158" s="25"/>
      <c r="R158" s="25"/>
      <c r="S158" s="25"/>
    </row>
    <row r="159" spans="1:19" outlineLevel="1" x14ac:dyDescent="0.2">
      <c r="A159" s="25" t="s">
        <v>21</v>
      </c>
      <c r="B159" s="25" t="s">
        <v>45</v>
      </c>
      <c r="C159" s="25"/>
      <c r="D159" s="26"/>
      <c r="E159" s="25"/>
      <c r="F159" s="26"/>
      <c r="G159" s="25"/>
      <c r="H159" s="26"/>
      <c r="I159" s="25"/>
      <c r="J159" s="25"/>
      <c r="K159" s="25"/>
      <c r="L159" s="25"/>
      <c r="M159" s="25" t="s">
        <v>1934</v>
      </c>
      <c r="N159" s="25"/>
      <c r="O159" s="25"/>
      <c r="P159" s="25"/>
      <c r="Q159" s="25"/>
      <c r="R159" s="25"/>
      <c r="S159" s="25"/>
    </row>
    <row r="160" spans="1:19" outlineLevel="1" x14ac:dyDescent="0.2">
      <c r="A160" s="25" t="s">
        <v>21</v>
      </c>
      <c r="B160" s="25" t="s">
        <v>46</v>
      </c>
      <c r="C160" s="25"/>
      <c r="D160" s="26"/>
      <c r="E160" s="25"/>
      <c r="F160" s="26"/>
      <c r="G160" s="25"/>
      <c r="H160" s="26"/>
      <c r="I160" s="25"/>
      <c r="J160" s="25"/>
      <c r="K160" s="25"/>
      <c r="L160" s="25"/>
      <c r="M160" s="25" t="s">
        <v>1935</v>
      </c>
      <c r="N160" s="25"/>
      <c r="O160" s="25"/>
      <c r="P160" s="25"/>
      <c r="Q160" s="25"/>
      <c r="R160" s="25"/>
      <c r="S160" s="25"/>
    </row>
    <row r="161" spans="1:19" outlineLevel="1" x14ac:dyDescent="0.2">
      <c r="A161" s="25" t="s">
        <v>21</v>
      </c>
      <c r="B161" s="25" t="s">
        <v>437</v>
      </c>
      <c r="C161" s="25"/>
      <c r="D161" s="26"/>
      <c r="E161" s="25"/>
      <c r="F161" s="26"/>
      <c r="G161" s="25"/>
      <c r="H161" s="26"/>
      <c r="I161" s="25"/>
      <c r="J161" s="25"/>
      <c r="K161" s="25"/>
      <c r="L161" s="25"/>
      <c r="M161" s="25" t="s">
        <v>1936</v>
      </c>
      <c r="N161" s="25"/>
      <c r="O161" s="25"/>
      <c r="P161" s="25"/>
      <c r="Q161" s="25"/>
      <c r="R161" s="25"/>
      <c r="S161" s="25"/>
    </row>
    <row r="162" spans="1:19" outlineLevel="1" x14ac:dyDescent="0.2">
      <c r="A162" s="25" t="s">
        <v>21</v>
      </c>
      <c r="B162" s="25" t="s">
        <v>438</v>
      </c>
      <c r="C162" s="25"/>
      <c r="D162" s="26"/>
      <c r="E162" s="25"/>
      <c r="F162" s="26"/>
      <c r="G162" s="25"/>
      <c r="H162" s="26"/>
      <c r="I162" s="25"/>
      <c r="J162" s="25"/>
      <c r="K162" s="25"/>
      <c r="L162" s="25"/>
      <c r="M162" s="25" t="s">
        <v>1937</v>
      </c>
      <c r="N162" s="25"/>
      <c r="O162" s="25"/>
      <c r="P162" s="25"/>
      <c r="Q162" s="25"/>
      <c r="R162" s="25"/>
      <c r="S162" s="25"/>
    </row>
    <row r="163" spans="1:19" outlineLevel="1" x14ac:dyDescent="0.2">
      <c r="A163" s="25" t="s">
        <v>21</v>
      </c>
      <c r="B163" s="25" t="s">
        <v>439</v>
      </c>
      <c r="C163" s="25"/>
      <c r="D163" s="26"/>
      <c r="E163" s="25"/>
      <c r="F163" s="26"/>
      <c r="G163" s="25"/>
      <c r="H163" s="26"/>
      <c r="I163" s="25"/>
      <c r="J163" s="25"/>
      <c r="K163" s="25"/>
      <c r="L163" s="25"/>
      <c r="M163" s="25" t="s">
        <v>1938</v>
      </c>
      <c r="N163" s="25"/>
      <c r="O163" s="25"/>
      <c r="P163" s="25"/>
      <c r="Q163" s="25"/>
      <c r="R163" s="25"/>
      <c r="S163" s="25"/>
    </row>
    <row r="164" spans="1:19" outlineLevel="1" x14ac:dyDescent="0.2">
      <c r="A164" s="25" t="s">
        <v>21</v>
      </c>
      <c r="B164" s="25" t="s">
        <v>440</v>
      </c>
      <c r="C164" s="25"/>
      <c r="D164" s="26"/>
      <c r="E164" s="25"/>
      <c r="F164" s="26"/>
      <c r="G164" s="25"/>
      <c r="H164" s="26"/>
      <c r="I164" s="25"/>
      <c r="J164" s="25"/>
      <c r="K164" s="25"/>
      <c r="L164" s="25"/>
      <c r="M164" s="25" t="s">
        <v>1939</v>
      </c>
      <c r="N164" s="25"/>
      <c r="O164" s="25"/>
      <c r="P164" s="25"/>
      <c r="Q164" s="25"/>
      <c r="R164" s="25"/>
      <c r="S164" s="25"/>
    </row>
    <row r="165" spans="1:19" outlineLevel="1" x14ac:dyDescent="0.2">
      <c r="A165" s="25" t="s">
        <v>21</v>
      </c>
      <c r="B165" s="25" t="s">
        <v>441</v>
      </c>
      <c r="C165" s="25"/>
      <c r="D165" s="26"/>
      <c r="E165" s="25"/>
      <c r="F165" s="26"/>
      <c r="G165" s="25"/>
      <c r="H165" s="26"/>
      <c r="I165" s="25"/>
      <c r="J165" s="25"/>
      <c r="K165" s="25"/>
      <c r="L165" s="25"/>
      <c r="M165" s="25" t="s">
        <v>1940</v>
      </c>
      <c r="N165" s="25"/>
      <c r="O165" s="25"/>
      <c r="P165" s="25"/>
      <c r="Q165" s="25"/>
      <c r="R165" s="25"/>
      <c r="S165" s="25"/>
    </row>
    <row r="166" spans="1:19" outlineLevel="1" x14ac:dyDescent="0.2">
      <c r="A166" s="25" t="s">
        <v>21</v>
      </c>
      <c r="B166" s="25" t="s">
        <v>442</v>
      </c>
      <c r="C166" s="25"/>
      <c r="D166" s="26"/>
      <c r="E166" s="25"/>
      <c r="F166" s="26"/>
      <c r="G166" s="25"/>
      <c r="H166" s="26"/>
      <c r="I166" s="25"/>
      <c r="J166" s="25"/>
      <c r="K166" s="25"/>
      <c r="L166" s="25"/>
      <c r="M166" s="25" t="s">
        <v>1941</v>
      </c>
      <c r="N166" s="25"/>
      <c r="O166" s="25"/>
      <c r="P166" s="25"/>
      <c r="Q166" s="25"/>
      <c r="R166" s="25"/>
      <c r="S166" s="25"/>
    </row>
    <row r="167" spans="1:19" outlineLevel="1" x14ac:dyDescent="0.2">
      <c r="A167" s="25" t="s">
        <v>21</v>
      </c>
      <c r="B167" s="25" t="s">
        <v>443</v>
      </c>
      <c r="C167" s="25"/>
      <c r="D167" s="26"/>
      <c r="E167" s="25"/>
      <c r="F167" s="26"/>
      <c r="G167" s="25"/>
      <c r="H167" s="26"/>
      <c r="I167" s="25"/>
      <c r="J167" s="25"/>
      <c r="K167" s="25"/>
      <c r="L167" s="25"/>
      <c r="M167" s="25" t="s">
        <v>1942</v>
      </c>
      <c r="N167" s="25"/>
      <c r="O167" s="25"/>
      <c r="P167" s="25"/>
      <c r="Q167" s="25"/>
      <c r="R167" s="25"/>
      <c r="S167" s="25"/>
    </row>
    <row r="168" spans="1:19" outlineLevel="1" x14ac:dyDescent="0.2">
      <c r="A168" s="25" t="s">
        <v>21</v>
      </c>
      <c r="B168" s="25" t="s">
        <v>444</v>
      </c>
      <c r="C168" s="25"/>
      <c r="D168" s="26"/>
      <c r="E168" s="25"/>
      <c r="F168" s="26"/>
      <c r="G168" s="25"/>
      <c r="H168" s="26"/>
      <c r="I168" s="25"/>
      <c r="J168" s="25"/>
      <c r="K168" s="25"/>
      <c r="L168" s="25"/>
      <c r="M168" s="25" t="s">
        <v>1943</v>
      </c>
      <c r="N168" s="25"/>
      <c r="O168" s="25"/>
      <c r="P168" s="25"/>
      <c r="Q168" s="25"/>
      <c r="R168" s="25"/>
      <c r="S168" s="25"/>
    </row>
    <row r="169" spans="1:19" outlineLevel="1" x14ac:dyDescent="0.2">
      <c r="A169" s="25" t="s">
        <v>21</v>
      </c>
      <c r="B169" s="25" t="s">
        <v>445</v>
      </c>
      <c r="C169" s="25"/>
      <c r="D169" s="26"/>
      <c r="E169" s="25"/>
      <c r="F169" s="26"/>
      <c r="G169" s="25"/>
      <c r="H169" s="26"/>
      <c r="I169" s="25"/>
      <c r="J169" s="25"/>
      <c r="K169" s="25"/>
      <c r="L169" s="25"/>
      <c r="M169" s="25" t="s">
        <v>1944</v>
      </c>
      <c r="N169" s="25"/>
      <c r="O169" s="25"/>
      <c r="P169" s="25"/>
      <c r="Q169" s="25"/>
      <c r="R169" s="25"/>
      <c r="S169" s="25"/>
    </row>
    <row r="170" spans="1:19" outlineLevel="1" x14ac:dyDescent="0.2">
      <c r="A170" s="25" t="s">
        <v>21</v>
      </c>
      <c r="B170" s="25" t="s">
        <v>446</v>
      </c>
      <c r="C170" s="25"/>
      <c r="D170" s="26"/>
      <c r="E170" s="25"/>
      <c r="F170" s="26"/>
      <c r="G170" s="25"/>
      <c r="H170" s="26"/>
      <c r="I170" s="25"/>
      <c r="J170" s="25"/>
      <c r="K170" s="25"/>
      <c r="L170" s="25"/>
      <c r="M170" s="25" t="s">
        <v>1945</v>
      </c>
      <c r="N170" s="25"/>
      <c r="O170" s="25"/>
      <c r="P170" s="25"/>
      <c r="Q170" s="25"/>
      <c r="R170" s="25"/>
      <c r="S170" s="25"/>
    </row>
    <row r="171" spans="1:19" x14ac:dyDescent="0.2">
      <c r="A171" s="7"/>
      <c r="B171" s="7"/>
      <c r="C171" s="7"/>
      <c r="D171" s="24"/>
      <c r="I171" s="7"/>
      <c r="L171" s="7"/>
      <c r="O171" s="7"/>
    </row>
    <row r="172" spans="1:19" outlineLevel="1" x14ac:dyDescent="0.2">
      <c r="A172" s="25" t="s">
        <v>21</v>
      </c>
      <c r="B172" s="25" t="s">
        <v>235</v>
      </c>
      <c r="C172" s="25"/>
      <c r="D172" s="26"/>
      <c r="E172" s="25"/>
      <c r="F172" s="26"/>
      <c r="G172" s="25"/>
      <c r="H172" s="26"/>
      <c r="I172" s="25"/>
      <c r="J172" s="25"/>
      <c r="K172" s="25"/>
      <c r="L172" s="25"/>
      <c r="M172" s="25" t="s">
        <v>6301</v>
      </c>
      <c r="N172" s="25"/>
      <c r="O172" s="25"/>
      <c r="P172" s="25"/>
      <c r="Q172" s="25"/>
      <c r="R172" s="25"/>
      <c r="S172" s="25"/>
    </row>
    <row r="173" spans="1:19" outlineLevel="1" x14ac:dyDescent="0.2">
      <c r="A173" s="25" t="s">
        <v>21</v>
      </c>
      <c r="B173" s="25" t="s">
        <v>236</v>
      </c>
      <c r="C173" s="25"/>
      <c r="D173" s="26"/>
      <c r="E173" s="25"/>
      <c r="F173" s="26"/>
      <c r="G173" s="25"/>
      <c r="H173" s="26"/>
      <c r="I173" s="25"/>
      <c r="J173" s="25"/>
      <c r="K173" s="25"/>
      <c r="L173" s="25"/>
      <c r="M173" s="25" t="s">
        <v>6302</v>
      </c>
      <c r="N173" s="25"/>
      <c r="O173" s="25"/>
      <c r="P173" s="25"/>
      <c r="Q173" s="25"/>
      <c r="R173" s="25"/>
      <c r="S173" s="25"/>
    </row>
    <row r="174" spans="1:19" outlineLevel="1" x14ac:dyDescent="0.2">
      <c r="A174" s="25" t="s">
        <v>21</v>
      </c>
      <c r="B174" s="25" t="s">
        <v>237</v>
      </c>
      <c r="C174" s="25"/>
      <c r="D174" s="26"/>
      <c r="E174" s="25"/>
      <c r="F174" s="26"/>
      <c r="G174" s="25"/>
      <c r="H174" s="26"/>
      <c r="I174" s="25"/>
      <c r="J174" s="25"/>
      <c r="K174" s="25"/>
      <c r="L174" s="25"/>
      <c r="M174" s="25" t="s">
        <v>6303</v>
      </c>
      <c r="N174" s="25"/>
      <c r="O174" s="25"/>
      <c r="P174" s="25"/>
      <c r="Q174" s="25"/>
      <c r="R174" s="25"/>
      <c r="S174" s="25"/>
    </row>
    <row r="175" spans="1:19" outlineLevel="1" x14ac:dyDescent="0.2">
      <c r="A175" s="25" t="s">
        <v>21</v>
      </c>
      <c r="B175" s="25" t="s">
        <v>238</v>
      </c>
      <c r="C175" s="25"/>
      <c r="D175" s="26"/>
      <c r="E175" s="25"/>
      <c r="F175" s="26"/>
      <c r="G175" s="25"/>
      <c r="H175" s="26"/>
      <c r="I175" s="25"/>
      <c r="J175" s="25"/>
      <c r="K175" s="25"/>
      <c r="L175" s="25"/>
      <c r="M175" s="25" t="s">
        <v>6304</v>
      </c>
      <c r="N175" s="25"/>
      <c r="O175" s="25"/>
      <c r="P175" s="25"/>
      <c r="Q175" s="25"/>
      <c r="R175" s="25"/>
      <c r="S175" s="25"/>
    </row>
    <row r="176" spans="1:19" outlineLevel="1" x14ac:dyDescent="0.2">
      <c r="A176" s="25" t="s">
        <v>21</v>
      </c>
      <c r="B176" s="25" t="s">
        <v>239</v>
      </c>
      <c r="C176" s="25"/>
      <c r="D176" s="26"/>
      <c r="E176" s="25"/>
      <c r="F176" s="26"/>
      <c r="G176" s="25"/>
      <c r="H176" s="26"/>
      <c r="I176" s="25"/>
      <c r="J176" s="25"/>
      <c r="K176" s="25"/>
      <c r="L176" s="25"/>
      <c r="M176" s="25" t="s">
        <v>6305</v>
      </c>
      <c r="N176" s="25"/>
      <c r="O176" s="25"/>
      <c r="P176" s="25"/>
      <c r="Q176" s="25"/>
      <c r="R176" s="25"/>
      <c r="S176" s="25"/>
    </row>
    <row r="177" spans="1:19" outlineLevel="1" x14ac:dyDescent="0.2">
      <c r="A177" s="25" t="s">
        <v>21</v>
      </c>
      <c r="B177" s="25" t="s">
        <v>240</v>
      </c>
      <c r="C177" s="25"/>
      <c r="D177" s="26"/>
      <c r="E177" s="25"/>
      <c r="F177" s="26"/>
      <c r="G177" s="25"/>
      <c r="H177" s="26"/>
      <c r="I177" s="25"/>
      <c r="J177" s="25"/>
      <c r="K177" s="25"/>
      <c r="L177" s="25"/>
      <c r="M177" s="25" t="s">
        <v>6306</v>
      </c>
      <c r="N177" s="25"/>
      <c r="O177" s="25"/>
      <c r="P177" s="25"/>
      <c r="Q177" s="25"/>
      <c r="R177" s="25"/>
      <c r="S177" s="25"/>
    </row>
    <row r="178" spans="1:19" outlineLevel="1" x14ac:dyDescent="0.2">
      <c r="A178" s="25" t="s">
        <v>21</v>
      </c>
      <c r="B178" s="25" t="s">
        <v>241</v>
      </c>
      <c r="C178" s="25"/>
      <c r="D178" s="26"/>
      <c r="E178" s="25"/>
      <c r="F178" s="26"/>
      <c r="G178" s="25"/>
      <c r="H178" s="26"/>
      <c r="I178" s="25"/>
      <c r="J178" s="25"/>
      <c r="K178" s="25"/>
      <c r="L178" s="25"/>
      <c r="M178" s="25" t="s">
        <v>6307</v>
      </c>
      <c r="N178" s="25"/>
      <c r="O178" s="25"/>
      <c r="P178" s="25"/>
      <c r="Q178" s="25"/>
      <c r="R178" s="25"/>
      <c r="S178" s="25"/>
    </row>
    <row r="179" spans="1:19" outlineLevel="1" x14ac:dyDescent="0.2">
      <c r="A179" s="25" t="s">
        <v>21</v>
      </c>
      <c r="B179" s="25" t="s">
        <v>242</v>
      </c>
      <c r="C179" s="25"/>
      <c r="D179" s="26"/>
      <c r="E179" s="25"/>
      <c r="F179" s="26"/>
      <c r="G179" s="25"/>
      <c r="H179" s="26"/>
      <c r="I179" s="25"/>
      <c r="J179" s="25"/>
      <c r="K179" s="25"/>
      <c r="L179" s="25"/>
      <c r="M179" s="25" t="s">
        <v>6308</v>
      </c>
      <c r="N179" s="25"/>
      <c r="O179" s="25"/>
      <c r="P179" s="25"/>
      <c r="Q179" s="25"/>
      <c r="R179" s="25"/>
      <c r="S179" s="25"/>
    </row>
    <row r="180" spans="1:19" outlineLevel="1" x14ac:dyDescent="0.2">
      <c r="A180" s="25" t="s">
        <v>21</v>
      </c>
      <c r="B180" s="25" t="s">
        <v>243</v>
      </c>
      <c r="C180" s="25"/>
      <c r="D180" s="26"/>
      <c r="E180" s="25"/>
      <c r="F180" s="26"/>
      <c r="G180" s="25"/>
      <c r="H180" s="26"/>
      <c r="I180" s="25"/>
      <c r="J180" s="25"/>
      <c r="K180" s="25"/>
      <c r="L180" s="25"/>
      <c r="M180" s="25" t="s">
        <v>6309</v>
      </c>
      <c r="N180" s="25"/>
      <c r="O180" s="25"/>
      <c r="P180" s="25"/>
      <c r="Q180" s="25"/>
      <c r="R180" s="25"/>
      <c r="S180" s="25"/>
    </row>
    <row r="181" spans="1:19" outlineLevel="1" x14ac:dyDescent="0.2">
      <c r="A181" s="25" t="s">
        <v>21</v>
      </c>
      <c r="B181" s="25" t="s">
        <v>244</v>
      </c>
      <c r="C181" s="25"/>
      <c r="D181" s="26"/>
      <c r="E181" s="25"/>
      <c r="F181" s="26"/>
      <c r="G181" s="25"/>
      <c r="H181" s="26"/>
      <c r="I181" s="25"/>
      <c r="J181" s="25"/>
      <c r="K181" s="25"/>
      <c r="L181" s="25"/>
      <c r="M181" s="25" t="s">
        <v>6310</v>
      </c>
      <c r="N181" s="25"/>
      <c r="O181" s="25"/>
      <c r="P181" s="25"/>
      <c r="Q181" s="25"/>
      <c r="R181" s="25"/>
      <c r="S181" s="25"/>
    </row>
    <row r="182" spans="1:19" outlineLevel="1" x14ac:dyDescent="0.2">
      <c r="A182" s="25" t="s">
        <v>21</v>
      </c>
      <c r="B182" s="25" t="s">
        <v>245</v>
      </c>
      <c r="C182" s="25"/>
      <c r="D182" s="26"/>
      <c r="E182" s="25"/>
      <c r="F182" s="26"/>
      <c r="G182" s="25"/>
      <c r="H182" s="26"/>
      <c r="I182" s="25"/>
      <c r="J182" s="25"/>
      <c r="K182" s="25"/>
      <c r="L182" s="25"/>
      <c r="M182" s="25" t="s">
        <v>6311</v>
      </c>
      <c r="N182" s="25"/>
      <c r="O182" s="25"/>
      <c r="P182" s="25"/>
      <c r="Q182" s="25"/>
      <c r="R182" s="25"/>
      <c r="S182" s="25"/>
    </row>
    <row r="183" spans="1:19" outlineLevel="1" x14ac:dyDescent="0.2">
      <c r="A183" s="25" t="s">
        <v>21</v>
      </c>
      <c r="B183" s="25" t="s">
        <v>246</v>
      </c>
      <c r="C183" s="25"/>
      <c r="D183" s="26"/>
      <c r="E183" s="25"/>
      <c r="F183" s="26"/>
      <c r="G183" s="25"/>
      <c r="H183" s="26"/>
      <c r="I183" s="25"/>
      <c r="J183" s="25"/>
      <c r="K183" s="25"/>
      <c r="L183" s="25"/>
      <c r="M183" s="25" t="s">
        <v>6312</v>
      </c>
      <c r="N183" s="25"/>
      <c r="O183" s="25"/>
      <c r="P183" s="25"/>
      <c r="Q183" s="25"/>
      <c r="R183" s="25"/>
      <c r="S183" s="25"/>
    </row>
    <row r="184" spans="1:19" outlineLevel="1" x14ac:dyDescent="0.2">
      <c r="A184" s="25" t="s">
        <v>21</v>
      </c>
      <c r="B184" s="25" t="s">
        <v>247</v>
      </c>
      <c r="C184" s="25"/>
      <c r="D184" s="26"/>
      <c r="E184" s="25"/>
      <c r="F184" s="26"/>
      <c r="G184" s="25"/>
      <c r="H184" s="26"/>
      <c r="I184" s="25"/>
      <c r="J184" s="25"/>
      <c r="K184" s="25"/>
      <c r="L184" s="25"/>
      <c r="M184" s="25" t="s">
        <v>6313</v>
      </c>
      <c r="N184" s="25"/>
      <c r="O184" s="25"/>
      <c r="P184" s="25"/>
      <c r="Q184" s="25"/>
      <c r="R184" s="25"/>
      <c r="S184" s="25"/>
    </row>
    <row r="185" spans="1:19" outlineLevel="1" x14ac:dyDescent="0.2">
      <c r="A185" s="25" t="s">
        <v>21</v>
      </c>
      <c r="B185" s="25" t="s">
        <v>248</v>
      </c>
      <c r="C185" s="25"/>
      <c r="D185" s="26"/>
      <c r="E185" s="25"/>
      <c r="F185" s="26"/>
      <c r="G185" s="25"/>
      <c r="H185" s="26"/>
      <c r="I185" s="25"/>
      <c r="J185" s="25"/>
      <c r="K185" s="25"/>
      <c r="L185" s="25"/>
      <c r="M185" s="25" t="s">
        <v>6314</v>
      </c>
      <c r="N185" s="25"/>
      <c r="O185" s="25"/>
      <c r="P185" s="25"/>
      <c r="Q185" s="25"/>
      <c r="R185" s="25"/>
      <c r="S185" s="25"/>
    </row>
    <row r="186" spans="1:19" outlineLevel="1" x14ac:dyDescent="0.2">
      <c r="A186" s="25" t="s">
        <v>21</v>
      </c>
      <c r="B186" s="25" t="s">
        <v>249</v>
      </c>
      <c r="C186" s="25"/>
      <c r="D186" s="26"/>
      <c r="E186" s="25"/>
      <c r="F186" s="26"/>
      <c r="G186" s="25"/>
      <c r="H186" s="26"/>
      <c r="I186" s="25"/>
      <c r="J186" s="25"/>
      <c r="K186" s="25"/>
      <c r="L186" s="25"/>
      <c r="M186" s="25" t="s">
        <v>6315</v>
      </c>
      <c r="N186" s="25"/>
      <c r="O186" s="25"/>
      <c r="P186" s="25"/>
      <c r="Q186" s="25"/>
      <c r="R186" s="25"/>
      <c r="S186" s="25"/>
    </row>
    <row r="187" spans="1:19" outlineLevel="1" x14ac:dyDescent="0.2">
      <c r="A187" s="25" t="s">
        <v>21</v>
      </c>
      <c r="B187" s="25" t="s">
        <v>447</v>
      </c>
      <c r="C187" s="25"/>
      <c r="D187" s="26"/>
      <c r="E187" s="25"/>
      <c r="F187" s="26"/>
      <c r="G187" s="25"/>
      <c r="H187" s="26"/>
      <c r="I187" s="25"/>
      <c r="J187" s="25"/>
      <c r="K187" s="25"/>
      <c r="L187" s="25"/>
      <c r="M187" s="25" t="s">
        <v>6316</v>
      </c>
      <c r="N187" s="25"/>
      <c r="O187" s="25"/>
      <c r="P187" s="25"/>
      <c r="Q187" s="25"/>
      <c r="R187" s="25"/>
      <c r="S187" s="25"/>
    </row>
    <row r="188" spans="1:19" outlineLevel="1" x14ac:dyDescent="0.2">
      <c r="A188" s="25" t="s">
        <v>21</v>
      </c>
      <c r="B188" s="25" t="s">
        <v>448</v>
      </c>
      <c r="C188" s="25"/>
      <c r="D188" s="26"/>
      <c r="E188" s="25"/>
      <c r="F188" s="26"/>
      <c r="G188" s="25"/>
      <c r="H188" s="26"/>
      <c r="I188" s="25"/>
      <c r="J188" s="25"/>
      <c r="K188" s="25"/>
      <c r="L188" s="25"/>
      <c r="M188" s="25" t="s">
        <v>6317</v>
      </c>
      <c r="N188" s="25"/>
      <c r="O188" s="25"/>
      <c r="P188" s="25"/>
      <c r="Q188" s="25"/>
      <c r="R188" s="25"/>
      <c r="S188" s="25"/>
    </row>
    <row r="189" spans="1:19" outlineLevel="1" x14ac:dyDescent="0.2">
      <c r="A189" s="25" t="s">
        <v>21</v>
      </c>
      <c r="B189" s="25" t="s">
        <v>449</v>
      </c>
      <c r="C189" s="25"/>
      <c r="D189" s="26"/>
      <c r="E189" s="25"/>
      <c r="F189" s="26"/>
      <c r="G189" s="25"/>
      <c r="H189" s="26"/>
      <c r="I189" s="25"/>
      <c r="J189" s="25"/>
      <c r="K189" s="25"/>
      <c r="L189" s="25"/>
      <c r="M189" s="25" t="s">
        <v>6318</v>
      </c>
      <c r="N189" s="25"/>
      <c r="O189" s="25"/>
      <c r="P189" s="25"/>
      <c r="Q189" s="25"/>
      <c r="R189" s="25"/>
      <c r="S189" s="25"/>
    </row>
    <row r="190" spans="1:19" outlineLevel="1" x14ac:dyDescent="0.2">
      <c r="A190" s="25" t="s">
        <v>21</v>
      </c>
      <c r="B190" s="25" t="s">
        <v>450</v>
      </c>
      <c r="C190" s="25"/>
      <c r="D190" s="26"/>
      <c r="E190" s="25"/>
      <c r="F190" s="26"/>
      <c r="G190" s="25"/>
      <c r="H190" s="26"/>
      <c r="I190" s="25"/>
      <c r="J190" s="25"/>
      <c r="K190" s="25"/>
      <c r="L190" s="25"/>
      <c r="M190" s="25" t="s">
        <v>6319</v>
      </c>
      <c r="N190" s="25"/>
      <c r="O190" s="25"/>
      <c r="P190" s="25"/>
      <c r="Q190" s="25"/>
      <c r="R190" s="25"/>
      <c r="S190" s="25"/>
    </row>
    <row r="191" spans="1:19" outlineLevel="1" x14ac:dyDescent="0.2">
      <c r="A191" s="25" t="s">
        <v>21</v>
      </c>
      <c r="B191" s="25" t="s">
        <v>451</v>
      </c>
      <c r="C191" s="25"/>
      <c r="D191" s="26"/>
      <c r="E191" s="25"/>
      <c r="F191" s="26"/>
      <c r="G191" s="25"/>
      <c r="H191" s="26"/>
      <c r="I191" s="25"/>
      <c r="J191" s="25"/>
      <c r="K191" s="25"/>
      <c r="L191" s="25"/>
      <c r="M191" s="25" t="s">
        <v>6320</v>
      </c>
      <c r="N191" s="25"/>
      <c r="O191" s="25"/>
      <c r="P191" s="25"/>
      <c r="Q191" s="25"/>
      <c r="R191" s="25"/>
      <c r="S191" s="25"/>
    </row>
    <row r="192" spans="1:19" outlineLevel="1" x14ac:dyDescent="0.2">
      <c r="A192" s="25" t="s">
        <v>21</v>
      </c>
      <c r="B192" s="25" t="s">
        <v>452</v>
      </c>
      <c r="C192" s="25"/>
      <c r="D192" s="26"/>
      <c r="E192" s="25"/>
      <c r="F192" s="26"/>
      <c r="G192" s="25"/>
      <c r="H192" s="26"/>
      <c r="I192" s="25"/>
      <c r="J192" s="25"/>
      <c r="K192" s="25"/>
      <c r="L192" s="25"/>
      <c r="M192" s="25" t="s">
        <v>6321</v>
      </c>
      <c r="N192" s="25"/>
      <c r="O192" s="25"/>
      <c r="P192" s="25"/>
      <c r="Q192" s="25"/>
      <c r="R192" s="25"/>
      <c r="S192" s="25"/>
    </row>
    <row r="193" spans="1:19" outlineLevel="1" x14ac:dyDescent="0.2">
      <c r="A193" s="25" t="s">
        <v>21</v>
      </c>
      <c r="B193" s="25" t="s">
        <v>453</v>
      </c>
      <c r="C193" s="25"/>
      <c r="D193" s="26"/>
      <c r="E193" s="25"/>
      <c r="F193" s="26"/>
      <c r="G193" s="25"/>
      <c r="H193" s="26"/>
      <c r="I193" s="25"/>
      <c r="J193" s="25"/>
      <c r="K193" s="25"/>
      <c r="L193" s="25"/>
      <c r="M193" s="25" t="s">
        <v>6322</v>
      </c>
      <c r="N193" s="25"/>
      <c r="O193" s="25"/>
      <c r="P193" s="25"/>
      <c r="Q193" s="25"/>
      <c r="R193" s="25"/>
      <c r="S193" s="25"/>
    </row>
    <row r="194" spans="1:19" outlineLevel="1" x14ac:dyDescent="0.2">
      <c r="A194" s="25" t="s">
        <v>21</v>
      </c>
      <c r="B194" s="25" t="s">
        <v>454</v>
      </c>
      <c r="C194" s="25"/>
      <c r="D194" s="26"/>
      <c r="E194" s="25"/>
      <c r="F194" s="26"/>
      <c r="G194" s="25"/>
      <c r="H194" s="26"/>
      <c r="I194" s="25"/>
      <c r="J194" s="25"/>
      <c r="K194" s="25"/>
      <c r="L194" s="25"/>
      <c r="M194" s="25" t="s">
        <v>6323</v>
      </c>
      <c r="N194" s="25"/>
      <c r="O194" s="25"/>
      <c r="P194" s="25"/>
      <c r="Q194" s="25"/>
      <c r="R194" s="25"/>
      <c r="S194" s="25"/>
    </row>
    <row r="195" spans="1:19" outlineLevel="1" x14ac:dyDescent="0.2">
      <c r="A195" s="25" t="s">
        <v>21</v>
      </c>
      <c r="B195" s="25" t="s">
        <v>455</v>
      </c>
      <c r="C195" s="25"/>
      <c r="D195" s="26"/>
      <c r="E195" s="25"/>
      <c r="F195" s="26"/>
      <c r="G195" s="25"/>
      <c r="H195" s="26"/>
      <c r="I195" s="25"/>
      <c r="J195" s="25"/>
      <c r="K195" s="25"/>
      <c r="L195" s="25"/>
      <c r="M195" s="25" t="s">
        <v>6324</v>
      </c>
      <c r="N195" s="25"/>
      <c r="O195" s="25"/>
      <c r="P195" s="25"/>
      <c r="Q195" s="25"/>
      <c r="R195" s="25"/>
      <c r="S195" s="25"/>
    </row>
    <row r="196" spans="1:19" outlineLevel="1" x14ac:dyDescent="0.2">
      <c r="A196" s="25" t="s">
        <v>21</v>
      </c>
      <c r="B196" s="25" t="s">
        <v>456</v>
      </c>
      <c r="C196" s="25"/>
      <c r="D196" s="26"/>
      <c r="E196" s="25"/>
      <c r="F196" s="26"/>
      <c r="G196" s="25"/>
      <c r="H196" s="26"/>
      <c r="I196" s="25"/>
      <c r="J196" s="25"/>
      <c r="K196" s="25"/>
      <c r="L196" s="25"/>
      <c r="M196" s="25" t="s">
        <v>6325</v>
      </c>
      <c r="N196" s="25"/>
      <c r="O196" s="25"/>
      <c r="P196" s="25"/>
      <c r="Q196" s="25"/>
      <c r="R196" s="25"/>
      <c r="S196" s="25"/>
    </row>
    <row r="197" spans="1:19" x14ac:dyDescent="0.2">
      <c r="A197" s="7"/>
      <c r="B197" s="7"/>
      <c r="C197" s="7"/>
      <c r="D197" s="24"/>
      <c r="I197" s="7"/>
      <c r="J197" s="7"/>
      <c r="K197" s="7"/>
      <c r="L197" s="7"/>
      <c r="M197" s="7"/>
      <c r="N197" s="7"/>
      <c r="O197" s="7"/>
      <c r="P197" s="7"/>
      <c r="Q197" s="7"/>
      <c r="R197" s="7"/>
    </row>
    <row r="198" spans="1:19" outlineLevel="1" x14ac:dyDescent="0.2">
      <c r="A198" s="25" t="s">
        <v>21</v>
      </c>
      <c r="B198" s="25" t="s">
        <v>265</v>
      </c>
      <c r="C198" s="25"/>
      <c r="D198" s="26"/>
      <c r="E198" s="25"/>
      <c r="F198" s="26"/>
      <c r="G198" s="25"/>
      <c r="H198" s="26"/>
      <c r="I198" s="25"/>
      <c r="J198" s="25"/>
      <c r="K198" s="25"/>
      <c r="L198" s="25"/>
      <c r="M198" s="25" t="s">
        <v>405</v>
      </c>
      <c r="N198" s="25"/>
      <c r="O198" s="25"/>
      <c r="P198" s="25"/>
      <c r="Q198" s="25"/>
      <c r="R198" s="25"/>
      <c r="S198" s="25"/>
    </row>
    <row r="199" spans="1:19" outlineLevel="1" x14ac:dyDescent="0.2">
      <c r="A199" s="25" t="s">
        <v>21</v>
      </c>
      <c r="B199" s="25" t="s">
        <v>266</v>
      </c>
      <c r="C199" s="25"/>
      <c r="D199" s="26"/>
      <c r="E199" s="25"/>
      <c r="F199" s="26"/>
      <c r="G199" s="25"/>
      <c r="H199" s="26"/>
      <c r="I199" s="25"/>
      <c r="J199" s="25"/>
      <c r="K199" s="25"/>
      <c r="L199" s="25"/>
      <c r="M199" s="25" t="s">
        <v>406</v>
      </c>
      <c r="N199" s="25"/>
      <c r="O199" s="25"/>
      <c r="P199" s="25"/>
      <c r="Q199" s="25"/>
      <c r="R199" s="25"/>
      <c r="S199" s="25"/>
    </row>
    <row r="200" spans="1:19" outlineLevel="1" x14ac:dyDescent="0.2">
      <c r="A200" s="25" t="s">
        <v>21</v>
      </c>
      <c r="B200" s="25" t="s">
        <v>267</v>
      </c>
      <c r="C200" s="25"/>
      <c r="D200" s="26"/>
      <c r="E200" s="25"/>
      <c r="F200" s="26"/>
      <c r="G200" s="25"/>
      <c r="H200" s="26"/>
      <c r="I200" s="25"/>
      <c r="J200" s="25"/>
      <c r="K200" s="25"/>
      <c r="L200" s="25"/>
      <c r="M200" s="25" t="s">
        <v>407</v>
      </c>
      <c r="N200" s="25"/>
      <c r="O200" s="25"/>
      <c r="P200" s="25"/>
      <c r="Q200" s="25"/>
      <c r="R200" s="25"/>
      <c r="S200" s="25"/>
    </row>
    <row r="201" spans="1:19" outlineLevel="1" x14ac:dyDescent="0.2">
      <c r="A201" s="25" t="s">
        <v>21</v>
      </c>
      <c r="B201" s="25" t="s">
        <v>268</v>
      </c>
      <c r="C201" s="25"/>
      <c r="D201" s="26"/>
      <c r="E201" s="25"/>
      <c r="F201" s="26"/>
      <c r="G201" s="25"/>
      <c r="H201" s="26"/>
      <c r="I201" s="25"/>
      <c r="J201" s="25"/>
      <c r="K201" s="25"/>
      <c r="L201" s="25"/>
      <c r="M201" s="25" t="s">
        <v>408</v>
      </c>
      <c r="N201" s="25"/>
      <c r="O201" s="25"/>
      <c r="P201" s="25"/>
      <c r="Q201" s="25"/>
      <c r="R201" s="25"/>
      <c r="S201" s="25"/>
    </row>
    <row r="202" spans="1:19" outlineLevel="1" x14ac:dyDescent="0.2">
      <c r="A202" s="25" t="s">
        <v>21</v>
      </c>
      <c r="B202" s="25" t="s">
        <v>269</v>
      </c>
      <c r="C202" s="25"/>
      <c r="D202" s="26"/>
      <c r="E202" s="25"/>
      <c r="F202" s="26"/>
      <c r="G202" s="25"/>
      <c r="H202" s="26"/>
      <c r="I202" s="25"/>
      <c r="J202" s="25"/>
      <c r="K202" s="25"/>
      <c r="L202" s="25"/>
      <c r="M202" s="25" t="s">
        <v>409</v>
      </c>
      <c r="N202" s="25"/>
      <c r="O202" s="25"/>
      <c r="P202" s="25"/>
      <c r="Q202" s="25"/>
      <c r="R202" s="25"/>
      <c r="S202" s="25"/>
    </row>
    <row r="203" spans="1:19" outlineLevel="1" x14ac:dyDescent="0.2">
      <c r="A203" s="25" t="s">
        <v>21</v>
      </c>
      <c r="B203" s="25" t="s">
        <v>270</v>
      </c>
      <c r="C203" s="25"/>
      <c r="D203" s="26"/>
      <c r="E203" s="25"/>
      <c r="F203" s="26"/>
      <c r="G203" s="25"/>
      <c r="H203" s="26"/>
      <c r="I203" s="25"/>
      <c r="J203" s="25"/>
      <c r="K203" s="25"/>
      <c r="L203" s="25"/>
      <c r="M203" s="25" t="s">
        <v>410</v>
      </c>
      <c r="N203" s="25"/>
      <c r="O203" s="25"/>
      <c r="P203" s="25"/>
      <c r="Q203" s="25"/>
      <c r="R203" s="25"/>
      <c r="S203" s="25"/>
    </row>
    <row r="204" spans="1:19" outlineLevel="1" x14ac:dyDescent="0.2">
      <c r="A204" s="25" t="s">
        <v>21</v>
      </c>
      <c r="B204" s="25" t="s">
        <v>271</v>
      </c>
      <c r="C204" s="25"/>
      <c r="D204" s="26"/>
      <c r="E204" s="25"/>
      <c r="F204" s="26"/>
      <c r="G204" s="25"/>
      <c r="H204" s="26"/>
      <c r="I204" s="25"/>
      <c r="J204" s="25"/>
      <c r="K204" s="25"/>
      <c r="L204" s="25"/>
      <c r="M204" s="25" t="s">
        <v>411</v>
      </c>
      <c r="N204" s="25"/>
      <c r="O204" s="25"/>
      <c r="P204" s="25"/>
      <c r="Q204" s="25"/>
      <c r="R204" s="25"/>
      <c r="S204" s="25"/>
    </row>
    <row r="205" spans="1:19" outlineLevel="1" x14ac:dyDescent="0.2">
      <c r="A205" s="25" t="s">
        <v>21</v>
      </c>
      <c r="B205" s="25" t="s">
        <v>272</v>
      </c>
      <c r="C205" s="25"/>
      <c r="D205" s="26"/>
      <c r="E205" s="25"/>
      <c r="F205" s="26"/>
      <c r="G205" s="25"/>
      <c r="H205" s="26"/>
      <c r="I205" s="25"/>
      <c r="J205" s="25"/>
      <c r="K205" s="25"/>
      <c r="L205" s="25"/>
      <c r="M205" s="25" t="s">
        <v>412</v>
      </c>
      <c r="N205" s="25"/>
      <c r="O205" s="25"/>
      <c r="P205" s="25"/>
      <c r="Q205" s="25"/>
      <c r="R205" s="25"/>
      <c r="S205" s="25"/>
    </row>
    <row r="206" spans="1:19" outlineLevel="1" x14ac:dyDescent="0.2">
      <c r="A206" s="25" t="s">
        <v>21</v>
      </c>
      <c r="B206" s="25" t="s">
        <v>273</v>
      </c>
      <c r="C206" s="25"/>
      <c r="D206" s="26"/>
      <c r="E206" s="25"/>
      <c r="F206" s="26"/>
      <c r="G206" s="25"/>
      <c r="H206" s="26"/>
      <c r="I206" s="25"/>
      <c r="J206" s="25"/>
      <c r="K206" s="25"/>
      <c r="L206" s="25"/>
      <c r="M206" s="25" t="s">
        <v>413</v>
      </c>
      <c r="N206" s="25"/>
      <c r="O206" s="25"/>
      <c r="P206" s="25"/>
      <c r="Q206" s="25"/>
      <c r="R206" s="25"/>
      <c r="S206" s="25"/>
    </row>
    <row r="207" spans="1:19" outlineLevel="1" x14ac:dyDescent="0.2">
      <c r="A207" s="25" t="s">
        <v>21</v>
      </c>
      <c r="B207" s="25" t="s">
        <v>274</v>
      </c>
      <c r="C207" s="25"/>
      <c r="D207" s="26"/>
      <c r="E207" s="25"/>
      <c r="F207" s="26"/>
      <c r="G207" s="25"/>
      <c r="H207" s="26"/>
      <c r="I207" s="25"/>
      <c r="J207" s="25"/>
      <c r="K207" s="25"/>
      <c r="L207" s="25"/>
      <c r="M207" s="25" t="s">
        <v>414</v>
      </c>
      <c r="N207" s="25"/>
      <c r="O207" s="25"/>
      <c r="P207" s="25"/>
      <c r="Q207" s="25"/>
      <c r="R207" s="25"/>
      <c r="S207" s="25"/>
    </row>
    <row r="208" spans="1:19" outlineLevel="1" x14ac:dyDescent="0.2">
      <c r="A208" s="25" t="s">
        <v>21</v>
      </c>
      <c r="B208" s="25" t="s">
        <v>285</v>
      </c>
      <c r="C208" s="25"/>
      <c r="D208" s="26"/>
      <c r="E208" s="25"/>
      <c r="F208" s="26"/>
      <c r="G208" s="25"/>
      <c r="H208" s="26"/>
      <c r="I208" s="25"/>
      <c r="J208" s="25"/>
      <c r="K208" s="25"/>
      <c r="L208" s="25"/>
      <c r="M208" s="25" t="s">
        <v>415</v>
      </c>
      <c r="N208" s="25"/>
      <c r="O208" s="25"/>
      <c r="P208" s="25"/>
      <c r="Q208" s="25"/>
      <c r="R208" s="25"/>
      <c r="S208" s="25"/>
    </row>
    <row r="209" spans="1:19" outlineLevel="1" x14ac:dyDescent="0.2">
      <c r="A209" s="25" t="s">
        <v>21</v>
      </c>
      <c r="B209" s="25" t="s">
        <v>286</v>
      </c>
      <c r="C209" s="25"/>
      <c r="D209" s="26"/>
      <c r="E209" s="25"/>
      <c r="F209" s="26"/>
      <c r="G209" s="25"/>
      <c r="H209" s="26"/>
      <c r="I209" s="25"/>
      <c r="J209" s="25"/>
      <c r="K209" s="25"/>
      <c r="L209" s="25"/>
      <c r="M209" s="25" t="s">
        <v>416</v>
      </c>
      <c r="N209" s="25"/>
      <c r="O209" s="25"/>
      <c r="P209" s="25"/>
      <c r="Q209" s="25"/>
      <c r="R209" s="25"/>
      <c r="S209" s="25"/>
    </row>
    <row r="210" spans="1:19" outlineLevel="1" x14ac:dyDescent="0.2">
      <c r="A210" s="25" t="s">
        <v>21</v>
      </c>
      <c r="B210" s="25" t="s">
        <v>287</v>
      </c>
      <c r="C210" s="25"/>
      <c r="D210" s="26"/>
      <c r="E210" s="25"/>
      <c r="F210" s="26"/>
      <c r="G210" s="25"/>
      <c r="H210" s="26"/>
      <c r="I210" s="25"/>
      <c r="J210" s="25"/>
      <c r="K210" s="25"/>
      <c r="L210" s="25"/>
      <c r="M210" s="25" t="s">
        <v>417</v>
      </c>
      <c r="N210" s="25"/>
      <c r="O210" s="25"/>
      <c r="P210" s="25"/>
      <c r="Q210" s="25"/>
      <c r="R210" s="25"/>
      <c r="S210" s="25"/>
    </row>
    <row r="211" spans="1:19" outlineLevel="1" x14ac:dyDescent="0.2">
      <c r="A211" s="25" t="s">
        <v>21</v>
      </c>
      <c r="B211" s="25" t="s">
        <v>288</v>
      </c>
      <c r="C211" s="25"/>
      <c r="D211" s="26"/>
      <c r="E211" s="25"/>
      <c r="F211" s="26"/>
      <c r="G211" s="25"/>
      <c r="H211" s="26"/>
      <c r="I211" s="25"/>
      <c r="J211" s="25"/>
      <c r="K211" s="25"/>
      <c r="L211" s="25"/>
      <c r="M211" s="25" t="s">
        <v>418</v>
      </c>
      <c r="N211" s="25"/>
      <c r="O211" s="25"/>
      <c r="P211" s="25"/>
      <c r="Q211" s="25"/>
      <c r="R211" s="25"/>
      <c r="S211" s="25"/>
    </row>
    <row r="212" spans="1:19" outlineLevel="1" x14ac:dyDescent="0.2">
      <c r="A212" s="25" t="s">
        <v>21</v>
      </c>
      <c r="B212" s="25" t="s">
        <v>289</v>
      </c>
      <c r="C212" s="25"/>
      <c r="D212" s="26"/>
      <c r="E212" s="25"/>
      <c r="F212" s="26"/>
      <c r="G212" s="25"/>
      <c r="H212" s="26"/>
      <c r="I212" s="25"/>
      <c r="J212" s="25"/>
      <c r="K212" s="25"/>
      <c r="L212" s="25"/>
      <c r="M212" s="25" t="s">
        <v>419</v>
      </c>
      <c r="N212" s="25"/>
      <c r="O212" s="25"/>
      <c r="P212" s="25"/>
      <c r="Q212" s="25"/>
      <c r="R212" s="25"/>
      <c r="S212" s="25"/>
    </row>
    <row r="213" spans="1:19" outlineLevel="1" x14ac:dyDescent="0.2">
      <c r="A213" s="25" t="s">
        <v>21</v>
      </c>
      <c r="B213" s="25" t="s">
        <v>457</v>
      </c>
      <c r="C213" s="25"/>
      <c r="D213" s="26"/>
      <c r="E213" s="25"/>
      <c r="F213" s="26"/>
      <c r="G213" s="25"/>
      <c r="H213" s="26"/>
      <c r="I213" s="25"/>
      <c r="J213" s="25"/>
      <c r="K213" s="25"/>
      <c r="L213" s="25"/>
      <c r="M213" s="25" t="s">
        <v>467</v>
      </c>
      <c r="N213" s="25"/>
      <c r="O213" s="25"/>
      <c r="P213" s="25"/>
      <c r="Q213" s="25"/>
      <c r="R213" s="25"/>
      <c r="S213" s="25"/>
    </row>
    <row r="214" spans="1:19" outlineLevel="1" x14ac:dyDescent="0.2">
      <c r="A214" s="25" t="s">
        <v>21</v>
      </c>
      <c r="B214" s="25" t="s">
        <v>458</v>
      </c>
      <c r="C214" s="25"/>
      <c r="D214" s="26"/>
      <c r="E214" s="25"/>
      <c r="F214" s="26"/>
      <c r="G214" s="25"/>
      <c r="H214" s="26"/>
      <c r="I214" s="25"/>
      <c r="J214" s="25"/>
      <c r="K214" s="25"/>
      <c r="L214" s="25"/>
      <c r="M214" s="25" t="s">
        <v>468</v>
      </c>
      <c r="N214" s="25"/>
      <c r="O214" s="25"/>
      <c r="P214" s="25"/>
      <c r="Q214" s="25"/>
      <c r="R214" s="25"/>
      <c r="S214" s="25"/>
    </row>
    <row r="215" spans="1:19" outlineLevel="1" x14ac:dyDescent="0.2">
      <c r="A215" s="25" t="s">
        <v>21</v>
      </c>
      <c r="B215" s="25" t="s">
        <v>459</v>
      </c>
      <c r="C215" s="25"/>
      <c r="D215" s="26"/>
      <c r="E215" s="25"/>
      <c r="F215" s="26"/>
      <c r="G215" s="25"/>
      <c r="H215" s="26"/>
      <c r="I215" s="25"/>
      <c r="J215" s="25"/>
      <c r="K215" s="25"/>
      <c r="L215" s="25"/>
      <c r="M215" s="25" t="s">
        <v>469</v>
      </c>
      <c r="N215" s="25"/>
      <c r="O215" s="25"/>
      <c r="P215" s="25"/>
      <c r="Q215" s="25"/>
      <c r="R215" s="25"/>
      <c r="S215" s="25"/>
    </row>
    <row r="216" spans="1:19" outlineLevel="1" x14ac:dyDescent="0.2">
      <c r="A216" s="25" t="s">
        <v>21</v>
      </c>
      <c r="B216" s="25" t="s">
        <v>460</v>
      </c>
      <c r="C216" s="25"/>
      <c r="D216" s="26"/>
      <c r="E216" s="25"/>
      <c r="F216" s="26"/>
      <c r="G216" s="25"/>
      <c r="H216" s="26"/>
      <c r="I216" s="25"/>
      <c r="J216" s="25"/>
      <c r="K216" s="25"/>
      <c r="L216" s="25"/>
      <c r="M216" s="25" t="s">
        <v>470</v>
      </c>
      <c r="N216" s="25"/>
      <c r="O216" s="25"/>
      <c r="P216" s="25"/>
      <c r="Q216" s="25"/>
      <c r="R216" s="25"/>
      <c r="S216" s="25"/>
    </row>
    <row r="217" spans="1:19" outlineLevel="1" x14ac:dyDescent="0.2">
      <c r="A217" s="25" t="s">
        <v>21</v>
      </c>
      <c r="B217" s="25" t="s">
        <v>461</v>
      </c>
      <c r="C217" s="25"/>
      <c r="D217" s="26"/>
      <c r="E217" s="25"/>
      <c r="F217" s="26"/>
      <c r="G217" s="25"/>
      <c r="H217" s="26"/>
      <c r="I217" s="25"/>
      <c r="J217" s="25"/>
      <c r="K217" s="25"/>
      <c r="L217" s="25"/>
      <c r="M217" s="25" t="s">
        <v>471</v>
      </c>
      <c r="N217" s="25"/>
      <c r="O217" s="25"/>
      <c r="P217" s="25"/>
      <c r="Q217" s="25"/>
      <c r="R217" s="25"/>
      <c r="S217" s="25"/>
    </row>
    <row r="218" spans="1:19" outlineLevel="1" x14ac:dyDescent="0.2">
      <c r="A218" s="25" t="s">
        <v>21</v>
      </c>
      <c r="B218" s="25" t="s">
        <v>462</v>
      </c>
      <c r="C218" s="25"/>
      <c r="D218" s="26"/>
      <c r="E218" s="25"/>
      <c r="F218" s="26"/>
      <c r="G218" s="25"/>
      <c r="H218" s="26"/>
      <c r="I218" s="25"/>
      <c r="J218" s="25"/>
      <c r="K218" s="25"/>
      <c r="L218" s="25"/>
      <c r="M218" s="25" t="s">
        <v>472</v>
      </c>
      <c r="N218" s="25"/>
      <c r="O218" s="25"/>
      <c r="P218" s="25"/>
      <c r="Q218" s="25"/>
      <c r="R218" s="25"/>
      <c r="S218" s="25"/>
    </row>
    <row r="219" spans="1:19" outlineLevel="1" x14ac:dyDescent="0.2">
      <c r="A219" s="25" t="s">
        <v>21</v>
      </c>
      <c r="B219" s="25" t="s">
        <v>463</v>
      </c>
      <c r="C219" s="25"/>
      <c r="D219" s="26"/>
      <c r="E219" s="25"/>
      <c r="F219" s="26"/>
      <c r="G219" s="25"/>
      <c r="H219" s="26"/>
      <c r="I219" s="25"/>
      <c r="J219" s="25"/>
      <c r="K219" s="25"/>
      <c r="L219" s="25"/>
      <c r="M219" s="25" t="s">
        <v>473</v>
      </c>
      <c r="N219" s="25"/>
      <c r="O219" s="25"/>
      <c r="P219" s="25"/>
      <c r="Q219" s="25"/>
      <c r="R219" s="25"/>
      <c r="S219" s="25"/>
    </row>
    <row r="220" spans="1:19" outlineLevel="1" x14ac:dyDescent="0.2">
      <c r="A220" s="25" t="s">
        <v>21</v>
      </c>
      <c r="B220" s="25" t="s">
        <v>464</v>
      </c>
      <c r="C220" s="25"/>
      <c r="D220" s="26"/>
      <c r="E220" s="25"/>
      <c r="F220" s="26"/>
      <c r="G220" s="25"/>
      <c r="H220" s="26"/>
      <c r="I220" s="25"/>
      <c r="J220" s="25"/>
      <c r="K220" s="25"/>
      <c r="L220" s="25"/>
      <c r="M220" s="25" t="s">
        <v>474</v>
      </c>
      <c r="N220" s="25"/>
      <c r="O220" s="25"/>
      <c r="P220" s="25"/>
      <c r="Q220" s="25"/>
      <c r="R220" s="25"/>
      <c r="S220" s="25"/>
    </row>
    <row r="221" spans="1:19" outlineLevel="1" x14ac:dyDescent="0.2">
      <c r="A221" s="25" t="s">
        <v>21</v>
      </c>
      <c r="B221" s="25" t="s">
        <v>465</v>
      </c>
      <c r="C221" s="25"/>
      <c r="D221" s="26"/>
      <c r="E221" s="25"/>
      <c r="F221" s="26"/>
      <c r="G221" s="25"/>
      <c r="H221" s="26"/>
      <c r="I221" s="25"/>
      <c r="J221" s="25"/>
      <c r="K221" s="25"/>
      <c r="L221" s="25"/>
      <c r="M221" s="25" t="s">
        <v>475</v>
      </c>
      <c r="N221" s="25"/>
      <c r="O221" s="25"/>
      <c r="P221" s="25"/>
      <c r="Q221" s="25"/>
      <c r="R221" s="25"/>
      <c r="S221" s="25"/>
    </row>
    <row r="222" spans="1:19" outlineLevel="1" x14ac:dyDescent="0.2">
      <c r="A222" s="25" t="s">
        <v>21</v>
      </c>
      <c r="B222" s="25" t="s">
        <v>466</v>
      </c>
      <c r="C222" s="25"/>
      <c r="D222" s="26"/>
      <c r="E222" s="25"/>
      <c r="F222" s="26"/>
      <c r="G222" s="25"/>
      <c r="H222" s="26"/>
      <c r="I222" s="25"/>
      <c r="J222" s="25"/>
      <c r="K222" s="25"/>
      <c r="L222" s="25"/>
      <c r="M222" s="25" t="s">
        <v>476</v>
      </c>
      <c r="N222" s="25"/>
      <c r="O222" s="25"/>
      <c r="P222" s="25"/>
      <c r="Q222" s="25"/>
      <c r="R222" s="25"/>
      <c r="S222" s="25"/>
    </row>
    <row r="223" spans="1:19" x14ac:dyDescent="0.2">
      <c r="A223" s="7"/>
      <c r="B223" s="7"/>
      <c r="C223" s="7"/>
      <c r="D223" s="24"/>
      <c r="I223" s="7"/>
      <c r="L223" s="7"/>
      <c r="O223" s="7"/>
    </row>
    <row r="224" spans="1:19" x14ac:dyDescent="0.2">
      <c r="A224" s="25" t="s">
        <v>21</v>
      </c>
      <c r="B224" s="25" t="s">
        <v>31</v>
      </c>
      <c r="C224" s="25"/>
      <c r="D224" s="26"/>
      <c r="E224" s="25"/>
      <c r="F224" s="26"/>
      <c r="G224" s="25"/>
      <c r="H224" s="26"/>
      <c r="I224" s="25"/>
      <c r="J224" s="25"/>
      <c r="K224" s="25"/>
      <c r="L224" s="25"/>
      <c r="M224" s="25" t="s">
        <v>1906</v>
      </c>
      <c r="N224" s="25"/>
      <c r="O224" s="25"/>
      <c r="P224" s="25"/>
      <c r="Q224" s="25"/>
      <c r="R224" s="25"/>
      <c r="S224" s="25"/>
    </row>
    <row r="225" spans="1:19" x14ac:dyDescent="0.2">
      <c r="A225" s="7"/>
      <c r="B225" s="7"/>
      <c r="C225" s="7"/>
      <c r="D225" s="24"/>
      <c r="I225" s="7"/>
      <c r="M225" s="7"/>
      <c r="P225" s="7"/>
    </row>
    <row r="226" spans="1:19" outlineLevel="1" x14ac:dyDescent="0.2">
      <c r="A226" s="25" t="s">
        <v>21</v>
      </c>
      <c r="B226" s="25" t="s">
        <v>1946</v>
      </c>
      <c r="C226" s="25"/>
      <c r="D226" s="26"/>
      <c r="E226" s="25"/>
      <c r="F226" s="26"/>
      <c r="G226" s="25"/>
      <c r="H226" s="26"/>
      <c r="I226" s="25"/>
      <c r="J226" s="25"/>
      <c r="K226" s="25"/>
      <c r="L226" s="25"/>
      <c r="M226" s="25" t="s">
        <v>779</v>
      </c>
      <c r="N226" s="25"/>
      <c r="O226" s="25"/>
      <c r="P226" s="25"/>
      <c r="Q226" s="25"/>
      <c r="R226" s="25"/>
      <c r="S226" s="25"/>
    </row>
    <row r="227" spans="1:19" outlineLevel="1" x14ac:dyDescent="0.2">
      <c r="A227" s="25" t="s">
        <v>21</v>
      </c>
      <c r="B227" s="25" t="s">
        <v>1947</v>
      </c>
      <c r="C227" s="25"/>
      <c r="D227" s="26"/>
      <c r="E227" s="25"/>
      <c r="F227" s="26"/>
      <c r="G227" s="25"/>
      <c r="H227" s="26"/>
      <c r="I227" s="25"/>
      <c r="J227" s="25"/>
      <c r="K227" s="25"/>
      <c r="L227" s="25"/>
      <c r="M227" s="25" t="s">
        <v>780</v>
      </c>
      <c r="N227" s="25"/>
      <c r="O227" s="25"/>
      <c r="P227" s="25"/>
      <c r="Q227" s="25"/>
      <c r="R227" s="25"/>
      <c r="S227" s="25"/>
    </row>
    <row r="228" spans="1:19" outlineLevel="1" x14ac:dyDescent="0.2">
      <c r="A228" s="25" t="s">
        <v>21</v>
      </c>
      <c r="B228" s="25" t="s">
        <v>1948</v>
      </c>
      <c r="C228" s="25"/>
      <c r="D228" s="26"/>
      <c r="E228" s="25"/>
      <c r="F228" s="26"/>
      <c r="G228" s="25"/>
      <c r="H228" s="26"/>
      <c r="I228" s="25"/>
      <c r="J228" s="25"/>
      <c r="K228" s="25"/>
      <c r="L228" s="25"/>
      <c r="M228" s="25" t="s">
        <v>781</v>
      </c>
      <c r="N228" s="25"/>
      <c r="O228" s="25"/>
      <c r="P228" s="25"/>
      <c r="Q228" s="25"/>
      <c r="R228" s="25"/>
      <c r="S228" s="25"/>
    </row>
    <row r="229" spans="1:19" outlineLevel="1" x14ac:dyDescent="0.2">
      <c r="A229" s="25" t="s">
        <v>21</v>
      </c>
      <c r="B229" s="25" t="s">
        <v>1949</v>
      </c>
      <c r="C229" s="25"/>
      <c r="D229" s="26"/>
      <c r="E229" s="25"/>
      <c r="F229" s="26"/>
      <c r="G229" s="25"/>
      <c r="H229" s="26"/>
      <c r="I229" s="25"/>
      <c r="J229" s="25"/>
      <c r="K229" s="25"/>
      <c r="L229" s="25"/>
      <c r="M229" s="25" t="s">
        <v>782</v>
      </c>
      <c r="N229" s="25"/>
      <c r="O229" s="25"/>
      <c r="P229" s="25"/>
      <c r="Q229" s="25"/>
      <c r="R229" s="25"/>
      <c r="S229" s="25"/>
    </row>
    <row r="230" spans="1:19" outlineLevel="1" x14ac:dyDescent="0.2">
      <c r="A230" s="25" t="s">
        <v>21</v>
      </c>
      <c r="B230" s="25" t="s">
        <v>1950</v>
      </c>
      <c r="C230" s="25"/>
      <c r="D230" s="26"/>
      <c r="E230" s="25"/>
      <c r="F230" s="26"/>
      <c r="G230" s="25"/>
      <c r="H230" s="26"/>
      <c r="I230" s="25"/>
      <c r="J230" s="25"/>
      <c r="K230" s="25"/>
      <c r="L230" s="25"/>
      <c r="M230" s="25" t="s">
        <v>783</v>
      </c>
      <c r="N230" s="25"/>
      <c r="O230" s="25"/>
      <c r="P230" s="25"/>
      <c r="Q230" s="25"/>
      <c r="R230" s="25"/>
      <c r="S230" s="25"/>
    </row>
    <row r="231" spans="1:19" outlineLevel="1" x14ac:dyDescent="0.2">
      <c r="A231" s="25" t="s">
        <v>21</v>
      </c>
      <c r="B231" s="25" t="s">
        <v>1951</v>
      </c>
      <c r="C231" s="25"/>
      <c r="D231" s="26"/>
      <c r="E231" s="25"/>
      <c r="F231" s="26"/>
      <c r="G231" s="25"/>
      <c r="H231" s="26"/>
      <c r="I231" s="25"/>
      <c r="J231" s="25"/>
      <c r="K231" s="25"/>
      <c r="L231" s="25"/>
      <c r="M231" s="25" t="s">
        <v>784</v>
      </c>
      <c r="N231" s="25"/>
      <c r="O231" s="25"/>
      <c r="P231" s="25"/>
      <c r="Q231" s="25"/>
      <c r="R231" s="25"/>
      <c r="S231" s="25"/>
    </row>
    <row r="232" spans="1:19" outlineLevel="1" x14ac:dyDescent="0.2">
      <c r="A232" s="25" t="s">
        <v>21</v>
      </c>
      <c r="B232" s="25" t="s">
        <v>1952</v>
      </c>
      <c r="C232" s="25"/>
      <c r="D232" s="26"/>
      <c r="E232" s="25"/>
      <c r="F232" s="26"/>
      <c r="G232" s="25"/>
      <c r="H232" s="26"/>
      <c r="I232" s="25"/>
      <c r="J232" s="25"/>
      <c r="K232" s="25"/>
      <c r="L232" s="25"/>
      <c r="M232" s="25" t="s">
        <v>785</v>
      </c>
      <c r="N232" s="25"/>
      <c r="O232" s="25"/>
      <c r="P232" s="25"/>
      <c r="Q232" s="25"/>
      <c r="R232" s="25"/>
      <c r="S232" s="25"/>
    </row>
    <row r="233" spans="1:19" outlineLevel="1" x14ac:dyDescent="0.2">
      <c r="A233" s="25" t="s">
        <v>21</v>
      </c>
      <c r="B233" s="25" t="s">
        <v>1953</v>
      </c>
      <c r="C233" s="25"/>
      <c r="D233" s="26"/>
      <c r="E233" s="25"/>
      <c r="F233" s="26"/>
      <c r="G233" s="25"/>
      <c r="H233" s="26"/>
      <c r="I233" s="25"/>
      <c r="J233" s="25"/>
      <c r="K233" s="25"/>
      <c r="L233" s="25"/>
      <c r="M233" s="25" t="s">
        <v>786</v>
      </c>
      <c r="N233" s="25"/>
      <c r="O233" s="25"/>
      <c r="P233" s="25"/>
      <c r="Q233" s="25"/>
      <c r="R233" s="25"/>
      <c r="S233" s="25"/>
    </row>
    <row r="234" spans="1:19" outlineLevel="1" x14ac:dyDescent="0.2">
      <c r="A234" s="25" t="s">
        <v>21</v>
      </c>
      <c r="B234" s="25" t="s">
        <v>1954</v>
      </c>
      <c r="C234" s="25"/>
      <c r="D234" s="26"/>
      <c r="E234" s="25"/>
      <c r="F234" s="26"/>
      <c r="G234" s="25"/>
      <c r="H234" s="26"/>
      <c r="I234" s="25"/>
      <c r="J234" s="25"/>
      <c r="K234" s="25"/>
      <c r="L234" s="25"/>
      <c r="M234" s="25" t="s">
        <v>787</v>
      </c>
      <c r="N234" s="25"/>
      <c r="O234" s="25"/>
      <c r="P234" s="25"/>
      <c r="Q234" s="25"/>
      <c r="R234" s="25"/>
      <c r="S234" s="25"/>
    </row>
    <row r="235" spans="1:19" outlineLevel="1" x14ac:dyDescent="0.2">
      <c r="A235" s="25" t="s">
        <v>21</v>
      </c>
      <c r="B235" s="25" t="s">
        <v>1955</v>
      </c>
      <c r="C235" s="25"/>
      <c r="D235" s="26"/>
      <c r="E235" s="25"/>
      <c r="F235" s="26"/>
      <c r="G235" s="25"/>
      <c r="H235" s="26"/>
      <c r="I235" s="25"/>
      <c r="J235" s="25"/>
      <c r="K235" s="25"/>
      <c r="L235" s="25"/>
      <c r="M235" s="25" t="s">
        <v>788</v>
      </c>
      <c r="N235" s="25"/>
      <c r="O235" s="25"/>
      <c r="P235" s="25"/>
      <c r="Q235" s="25"/>
      <c r="R235" s="25"/>
      <c r="S235" s="25"/>
    </row>
    <row r="236" spans="1:19" outlineLevel="1" x14ac:dyDescent="0.2">
      <c r="A236" s="25" t="s">
        <v>21</v>
      </c>
      <c r="B236" s="25" t="s">
        <v>1956</v>
      </c>
      <c r="C236" s="25"/>
      <c r="D236" s="26"/>
      <c r="E236" s="25"/>
      <c r="F236" s="26"/>
      <c r="G236" s="25"/>
      <c r="H236" s="26"/>
      <c r="I236" s="25"/>
      <c r="J236" s="25"/>
      <c r="K236" s="25"/>
      <c r="L236" s="25"/>
      <c r="M236" s="25" t="s">
        <v>789</v>
      </c>
      <c r="N236" s="25"/>
      <c r="O236" s="25"/>
      <c r="P236" s="25"/>
      <c r="Q236" s="25"/>
      <c r="R236" s="25"/>
      <c r="S236" s="25"/>
    </row>
    <row r="237" spans="1:19" outlineLevel="1" x14ac:dyDescent="0.2">
      <c r="A237" s="25" t="s">
        <v>21</v>
      </c>
      <c r="B237" s="25" t="s">
        <v>1957</v>
      </c>
      <c r="C237" s="25"/>
      <c r="D237" s="26"/>
      <c r="E237" s="25"/>
      <c r="F237" s="26"/>
      <c r="G237" s="25"/>
      <c r="H237" s="26"/>
      <c r="I237" s="25"/>
      <c r="J237" s="25"/>
      <c r="K237" s="25"/>
      <c r="L237" s="25"/>
      <c r="M237" s="25" t="s">
        <v>790</v>
      </c>
      <c r="N237" s="25"/>
      <c r="O237" s="25"/>
      <c r="P237" s="25"/>
      <c r="Q237" s="25"/>
      <c r="R237" s="25"/>
      <c r="S237" s="25"/>
    </row>
    <row r="238" spans="1:19" outlineLevel="1" x14ac:dyDescent="0.2">
      <c r="A238" s="25" t="s">
        <v>21</v>
      </c>
      <c r="B238" s="25" t="s">
        <v>1958</v>
      </c>
      <c r="C238" s="25"/>
      <c r="D238" s="26"/>
      <c r="E238" s="25"/>
      <c r="F238" s="26"/>
      <c r="G238" s="25"/>
      <c r="H238" s="26"/>
      <c r="I238" s="25"/>
      <c r="J238" s="25"/>
      <c r="K238" s="25"/>
      <c r="L238" s="25"/>
      <c r="M238" s="25" t="s">
        <v>791</v>
      </c>
      <c r="N238" s="25"/>
      <c r="O238" s="25"/>
      <c r="P238" s="25"/>
      <c r="Q238" s="25"/>
      <c r="R238" s="25"/>
      <c r="S238" s="25"/>
    </row>
    <row r="239" spans="1:19" outlineLevel="1" x14ac:dyDescent="0.2">
      <c r="A239" s="25" t="s">
        <v>21</v>
      </c>
      <c r="B239" s="25" t="s">
        <v>1959</v>
      </c>
      <c r="C239" s="25"/>
      <c r="D239" s="26"/>
      <c r="E239" s="25"/>
      <c r="F239" s="26"/>
      <c r="G239" s="25"/>
      <c r="H239" s="26"/>
      <c r="I239" s="25"/>
      <c r="J239" s="25"/>
      <c r="K239" s="25"/>
      <c r="L239" s="25"/>
      <c r="M239" s="25" t="s">
        <v>792</v>
      </c>
      <c r="N239" s="25"/>
      <c r="O239" s="25"/>
      <c r="P239" s="25"/>
      <c r="Q239" s="25"/>
      <c r="R239" s="25"/>
      <c r="S239" s="25"/>
    </row>
    <row r="240" spans="1:19" outlineLevel="1" x14ac:dyDescent="0.2">
      <c r="A240" s="25" t="s">
        <v>21</v>
      </c>
      <c r="B240" s="25" t="s">
        <v>1960</v>
      </c>
      <c r="C240" s="25"/>
      <c r="D240" s="26"/>
      <c r="E240" s="25"/>
      <c r="F240" s="26"/>
      <c r="G240" s="25"/>
      <c r="H240" s="26"/>
      <c r="I240" s="25"/>
      <c r="J240" s="25"/>
      <c r="K240" s="25"/>
      <c r="L240" s="25"/>
      <c r="M240" s="25" t="s">
        <v>793</v>
      </c>
      <c r="N240" s="25"/>
      <c r="O240" s="25"/>
      <c r="P240" s="25"/>
      <c r="Q240" s="25"/>
      <c r="R240" s="25"/>
      <c r="S240" s="25"/>
    </row>
    <row r="241" spans="1:19" outlineLevel="1" x14ac:dyDescent="0.2">
      <c r="A241" s="25" t="s">
        <v>21</v>
      </c>
      <c r="B241" s="25" t="s">
        <v>1961</v>
      </c>
      <c r="C241" s="25"/>
      <c r="D241" s="26"/>
      <c r="E241" s="25"/>
      <c r="F241" s="26"/>
      <c r="G241" s="25"/>
      <c r="H241" s="26"/>
      <c r="I241" s="25"/>
      <c r="J241" s="25"/>
      <c r="K241" s="25"/>
      <c r="L241" s="25"/>
      <c r="M241" s="25" t="s">
        <v>794</v>
      </c>
      <c r="N241" s="25"/>
      <c r="O241" s="25"/>
      <c r="P241" s="25"/>
      <c r="Q241" s="25"/>
      <c r="R241" s="25"/>
      <c r="S241" s="25"/>
    </row>
    <row r="242" spans="1:19" outlineLevel="1" x14ac:dyDescent="0.2">
      <c r="A242" s="25" t="s">
        <v>21</v>
      </c>
      <c r="B242" s="25" t="s">
        <v>1962</v>
      </c>
      <c r="C242" s="25"/>
      <c r="D242" s="26"/>
      <c r="E242" s="25"/>
      <c r="F242" s="26"/>
      <c r="G242" s="25"/>
      <c r="H242" s="26"/>
      <c r="I242" s="25"/>
      <c r="J242" s="25"/>
      <c r="K242" s="25"/>
      <c r="L242" s="25"/>
      <c r="M242" s="25" t="s">
        <v>795</v>
      </c>
      <c r="N242" s="25"/>
      <c r="O242" s="25"/>
      <c r="P242" s="25"/>
      <c r="Q242" s="25"/>
      <c r="R242" s="25"/>
      <c r="S242" s="25"/>
    </row>
    <row r="243" spans="1:19" outlineLevel="1" x14ac:dyDescent="0.2">
      <c r="A243" s="25" t="s">
        <v>21</v>
      </c>
      <c r="B243" s="25" t="s">
        <v>1963</v>
      </c>
      <c r="C243" s="25"/>
      <c r="D243" s="26"/>
      <c r="E243" s="25"/>
      <c r="F243" s="26"/>
      <c r="G243" s="25"/>
      <c r="H243" s="26"/>
      <c r="I243" s="25"/>
      <c r="J243" s="25"/>
      <c r="K243" s="25"/>
      <c r="L243" s="25"/>
      <c r="M243" s="25" t="s">
        <v>796</v>
      </c>
      <c r="N243" s="25"/>
      <c r="O243" s="25"/>
      <c r="P243" s="25"/>
      <c r="Q243" s="25"/>
      <c r="R243" s="25"/>
      <c r="S243" s="25"/>
    </row>
    <row r="244" spans="1:19" outlineLevel="1" x14ac:dyDescent="0.2">
      <c r="A244" s="25" t="s">
        <v>21</v>
      </c>
      <c r="B244" s="25" t="s">
        <v>1964</v>
      </c>
      <c r="C244" s="25"/>
      <c r="D244" s="26"/>
      <c r="E244" s="25"/>
      <c r="F244" s="26"/>
      <c r="G244" s="25"/>
      <c r="H244" s="26"/>
      <c r="I244" s="25"/>
      <c r="J244" s="25"/>
      <c r="K244" s="25"/>
      <c r="L244" s="25"/>
      <c r="M244" s="25" t="s">
        <v>797</v>
      </c>
      <c r="N244" s="25"/>
      <c r="O244" s="25"/>
      <c r="P244" s="25"/>
      <c r="Q244" s="25"/>
      <c r="R244" s="25"/>
      <c r="S244" s="25"/>
    </row>
    <row r="245" spans="1:19" outlineLevel="1" x14ac:dyDescent="0.2">
      <c r="A245" s="25" t="s">
        <v>21</v>
      </c>
      <c r="B245" s="25" t="s">
        <v>1965</v>
      </c>
      <c r="C245" s="25"/>
      <c r="D245" s="26"/>
      <c r="E245" s="25"/>
      <c r="F245" s="26"/>
      <c r="G245" s="25"/>
      <c r="H245" s="26"/>
      <c r="I245" s="25"/>
      <c r="J245" s="25"/>
      <c r="K245" s="25"/>
      <c r="L245" s="25"/>
      <c r="M245" s="25" t="s">
        <v>798</v>
      </c>
      <c r="N245" s="25"/>
      <c r="O245" s="25"/>
      <c r="P245" s="25"/>
      <c r="Q245" s="25"/>
      <c r="R245" s="25"/>
      <c r="S245" s="25"/>
    </row>
    <row r="246" spans="1:19" outlineLevel="1" x14ac:dyDescent="0.2">
      <c r="A246" s="25" t="s">
        <v>21</v>
      </c>
      <c r="B246" s="25" t="s">
        <v>1966</v>
      </c>
      <c r="C246" s="25"/>
      <c r="D246" s="26"/>
      <c r="E246" s="25"/>
      <c r="F246" s="26"/>
      <c r="G246" s="25"/>
      <c r="H246" s="26"/>
      <c r="I246" s="25"/>
      <c r="J246" s="25"/>
      <c r="K246" s="25"/>
      <c r="L246" s="25"/>
      <c r="M246" s="25" t="s">
        <v>799</v>
      </c>
      <c r="N246" s="25"/>
      <c r="O246" s="25"/>
      <c r="P246" s="25"/>
      <c r="Q246" s="25"/>
      <c r="R246" s="25"/>
      <c r="S246" s="25"/>
    </row>
    <row r="247" spans="1:19" outlineLevel="1" x14ac:dyDescent="0.2">
      <c r="A247" s="25" t="s">
        <v>21</v>
      </c>
      <c r="B247" s="25" t="s">
        <v>1967</v>
      </c>
      <c r="C247" s="25"/>
      <c r="D247" s="26"/>
      <c r="E247" s="25"/>
      <c r="F247" s="26"/>
      <c r="G247" s="25"/>
      <c r="H247" s="26"/>
      <c r="I247" s="25"/>
      <c r="J247" s="25"/>
      <c r="K247" s="25"/>
      <c r="L247" s="25"/>
      <c r="M247" s="25" t="s">
        <v>800</v>
      </c>
      <c r="N247" s="25"/>
      <c r="O247" s="25"/>
      <c r="P247" s="25"/>
      <c r="Q247" s="25"/>
      <c r="R247" s="25"/>
      <c r="S247" s="25"/>
    </row>
    <row r="248" spans="1:19" outlineLevel="1" x14ac:dyDescent="0.2">
      <c r="A248" s="25" t="s">
        <v>21</v>
      </c>
      <c r="B248" s="25" t="s">
        <v>1968</v>
      </c>
      <c r="C248" s="25"/>
      <c r="D248" s="26"/>
      <c r="E248" s="25"/>
      <c r="F248" s="26"/>
      <c r="G248" s="25"/>
      <c r="H248" s="26"/>
      <c r="I248" s="25"/>
      <c r="J248" s="25"/>
      <c r="K248" s="25"/>
      <c r="L248" s="25"/>
      <c r="M248" s="25" t="s">
        <v>801</v>
      </c>
      <c r="N248" s="25"/>
      <c r="O248" s="25"/>
      <c r="P248" s="25"/>
      <c r="Q248" s="25"/>
      <c r="R248" s="25"/>
      <c r="S248" s="25"/>
    </row>
    <row r="249" spans="1:19" outlineLevel="1" x14ac:dyDescent="0.2">
      <c r="A249" s="25" t="s">
        <v>21</v>
      </c>
      <c r="B249" s="25" t="s">
        <v>1969</v>
      </c>
      <c r="C249" s="25"/>
      <c r="D249" s="26"/>
      <c r="E249" s="25"/>
      <c r="F249" s="26"/>
      <c r="G249" s="25"/>
      <c r="H249" s="26"/>
      <c r="I249" s="25"/>
      <c r="J249" s="25"/>
      <c r="K249" s="25"/>
      <c r="L249" s="25"/>
      <c r="M249" s="25" t="s">
        <v>802</v>
      </c>
      <c r="N249" s="25"/>
      <c r="O249" s="25"/>
      <c r="P249" s="25"/>
      <c r="Q249" s="25"/>
      <c r="R249" s="25"/>
      <c r="S249" s="25"/>
    </row>
    <row r="250" spans="1:19" outlineLevel="1" x14ac:dyDescent="0.2">
      <c r="A250" s="25" t="s">
        <v>21</v>
      </c>
      <c r="B250" s="25" t="s">
        <v>1970</v>
      </c>
      <c r="C250" s="25"/>
      <c r="D250" s="26"/>
      <c r="E250" s="25"/>
      <c r="F250" s="26"/>
      <c r="G250" s="25"/>
      <c r="H250" s="26"/>
      <c r="I250" s="25"/>
      <c r="J250" s="25"/>
      <c r="K250" s="25"/>
      <c r="L250" s="25"/>
      <c r="M250" s="25" t="s">
        <v>803</v>
      </c>
      <c r="N250" s="25"/>
      <c r="O250" s="25"/>
      <c r="P250" s="25"/>
      <c r="Q250" s="25"/>
      <c r="R250" s="25"/>
      <c r="S250" s="25"/>
    </row>
    <row r="251" spans="1:19" x14ac:dyDescent="0.2">
      <c r="A251" s="7"/>
      <c r="B251" s="7"/>
      <c r="C251" s="7"/>
      <c r="D251" s="24"/>
      <c r="I251" s="7"/>
      <c r="J251" s="7"/>
      <c r="K251" s="7"/>
      <c r="L251" s="7"/>
      <c r="M251" s="7"/>
      <c r="N251" s="7"/>
      <c r="O251" s="7"/>
      <c r="P251" s="7"/>
      <c r="Q251" s="7"/>
      <c r="R251" s="7"/>
    </row>
    <row r="252" spans="1:19" x14ac:dyDescent="0.2">
      <c r="A252" s="25" t="s">
        <v>21</v>
      </c>
      <c r="B252" s="25" t="s">
        <v>670</v>
      </c>
      <c r="C252" s="25"/>
      <c r="D252" s="26"/>
      <c r="E252" s="25"/>
      <c r="F252" s="26"/>
      <c r="G252" s="25"/>
      <c r="H252" s="26"/>
      <c r="I252" s="25"/>
      <c r="J252" s="25"/>
      <c r="K252" s="25"/>
      <c r="L252" s="25"/>
      <c r="M252" s="25" t="s">
        <v>1971</v>
      </c>
      <c r="N252" s="25"/>
      <c r="O252" s="25"/>
      <c r="P252" s="25"/>
      <c r="Q252" s="25"/>
      <c r="R252" s="25"/>
      <c r="S252" s="25"/>
    </row>
    <row r="253" spans="1:19" x14ac:dyDescent="0.2">
      <c r="A253" s="25" t="s">
        <v>21</v>
      </c>
      <c r="B253" s="25" t="s">
        <v>900</v>
      </c>
      <c r="C253" s="25"/>
      <c r="D253" s="26"/>
      <c r="E253" s="25"/>
      <c r="F253" s="26"/>
      <c r="G253" s="25"/>
      <c r="H253" s="26"/>
      <c r="I253" s="25"/>
      <c r="J253" s="25"/>
      <c r="K253" s="25"/>
      <c r="L253" s="25"/>
      <c r="M253" s="25" t="s">
        <v>901</v>
      </c>
      <c r="N253" s="25"/>
      <c r="O253" s="25"/>
      <c r="P253" s="25"/>
      <c r="Q253" s="25"/>
      <c r="R253" s="25"/>
      <c r="S253" s="25"/>
    </row>
    <row r="254" spans="1:19" x14ac:dyDescent="0.2">
      <c r="A254" s="25" t="s">
        <v>21</v>
      </c>
      <c r="B254" s="25" t="s">
        <v>681</v>
      </c>
      <c r="C254" s="25"/>
      <c r="D254" s="26"/>
      <c r="E254" s="25"/>
      <c r="F254" s="26"/>
      <c r="G254" s="25"/>
      <c r="H254" s="26"/>
      <c r="I254" s="25"/>
      <c r="J254" s="25"/>
      <c r="K254" s="25"/>
      <c r="L254" s="25"/>
      <c r="M254" s="25" t="s">
        <v>682</v>
      </c>
      <c r="N254" s="25"/>
      <c r="O254" s="25"/>
      <c r="P254" s="25"/>
      <c r="Q254" s="25"/>
      <c r="R254" s="25"/>
      <c r="S254" s="25"/>
    </row>
    <row r="255" spans="1:19" x14ac:dyDescent="0.2">
      <c r="A255" s="7"/>
      <c r="B255" s="7"/>
      <c r="C255" s="7"/>
      <c r="D255" s="24"/>
      <c r="I255" s="7"/>
      <c r="M255" s="7"/>
      <c r="P255" s="7"/>
    </row>
    <row r="256" spans="1:19" s="106" customFormat="1" x14ac:dyDescent="0.2">
      <c r="A256" s="16" t="s">
        <v>21</v>
      </c>
      <c r="B256" s="16" t="s">
        <v>4360</v>
      </c>
      <c r="C256" s="16"/>
      <c r="D256" s="82"/>
      <c r="E256" s="16"/>
      <c r="F256" s="82"/>
      <c r="G256" s="16"/>
      <c r="H256" s="82"/>
      <c r="I256" s="16"/>
      <c r="J256" s="62"/>
      <c r="K256" s="62"/>
      <c r="L256" s="62"/>
      <c r="M256" s="16" t="s">
        <v>4359</v>
      </c>
      <c r="N256" s="62"/>
      <c r="O256" s="62"/>
      <c r="P256" s="16"/>
      <c r="Q256" s="62"/>
      <c r="R256" s="62"/>
      <c r="S256" s="62"/>
    </row>
    <row r="257" spans="1:19" s="106" customFormat="1" x14ac:dyDescent="0.2">
      <c r="A257" s="16" t="s">
        <v>21</v>
      </c>
      <c r="B257" s="16" t="s">
        <v>4361</v>
      </c>
      <c r="C257" s="16"/>
      <c r="D257" s="82"/>
      <c r="E257" s="16"/>
      <c r="F257" s="82"/>
      <c r="G257" s="16"/>
      <c r="H257" s="82"/>
      <c r="I257" s="16"/>
      <c r="J257" s="62"/>
      <c r="K257" s="62"/>
      <c r="L257" s="62"/>
      <c r="M257" s="16" t="s">
        <v>4385</v>
      </c>
      <c r="N257" s="62"/>
      <c r="O257" s="62"/>
      <c r="P257" s="16"/>
      <c r="Q257" s="62"/>
      <c r="R257" s="62"/>
      <c r="S257" s="62"/>
    </row>
    <row r="258" spans="1:19" s="106" customFormat="1" x14ac:dyDescent="0.2">
      <c r="A258" s="16" t="s">
        <v>21</v>
      </c>
      <c r="B258" s="16" t="s">
        <v>4362</v>
      </c>
      <c r="C258" s="16"/>
      <c r="D258" s="82"/>
      <c r="E258" s="16"/>
      <c r="F258" s="82"/>
      <c r="G258" s="16"/>
      <c r="H258" s="82"/>
      <c r="I258" s="16"/>
      <c r="J258" s="62"/>
      <c r="K258" s="62"/>
      <c r="L258" s="62"/>
      <c r="M258" s="16" t="s">
        <v>4386</v>
      </c>
      <c r="N258" s="62"/>
      <c r="O258" s="62"/>
      <c r="P258" s="16"/>
      <c r="Q258" s="62"/>
      <c r="R258" s="62"/>
      <c r="S258" s="62"/>
    </row>
    <row r="259" spans="1:19" s="106" customFormat="1" x14ac:dyDescent="0.2">
      <c r="A259" s="16" t="s">
        <v>21</v>
      </c>
      <c r="B259" s="16" t="s">
        <v>4363</v>
      </c>
      <c r="C259" s="16"/>
      <c r="D259" s="82"/>
      <c r="E259" s="16"/>
      <c r="F259" s="82"/>
      <c r="G259" s="16"/>
      <c r="H259" s="82"/>
      <c r="I259" s="16"/>
      <c r="J259" s="62"/>
      <c r="K259" s="62"/>
      <c r="L259" s="62"/>
      <c r="M259" s="16" t="s">
        <v>4387</v>
      </c>
      <c r="N259" s="62"/>
      <c r="O259" s="62"/>
      <c r="P259" s="16"/>
      <c r="Q259" s="62"/>
      <c r="R259" s="62"/>
      <c r="S259" s="62"/>
    </row>
    <row r="260" spans="1:19" s="106" customFormat="1" x14ac:dyDescent="0.2">
      <c r="A260" s="16" t="s">
        <v>21</v>
      </c>
      <c r="B260" s="16" t="s">
        <v>4364</v>
      </c>
      <c r="C260" s="16"/>
      <c r="D260" s="82"/>
      <c r="E260" s="16"/>
      <c r="F260" s="82"/>
      <c r="G260" s="16"/>
      <c r="H260" s="82"/>
      <c r="I260" s="16"/>
      <c r="J260" s="62"/>
      <c r="K260" s="62"/>
      <c r="L260" s="62"/>
      <c r="M260" s="16" t="s">
        <v>4388</v>
      </c>
      <c r="N260" s="62"/>
      <c r="O260" s="62"/>
      <c r="P260" s="16"/>
      <c r="Q260" s="62"/>
      <c r="R260" s="62"/>
      <c r="S260" s="62"/>
    </row>
    <row r="261" spans="1:19" s="106" customFormat="1" x14ac:dyDescent="0.2">
      <c r="A261" s="16" t="s">
        <v>21</v>
      </c>
      <c r="B261" s="16" t="s">
        <v>4365</v>
      </c>
      <c r="C261" s="16"/>
      <c r="D261" s="82"/>
      <c r="E261" s="16"/>
      <c r="F261" s="82"/>
      <c r="G261" s="16"/>
      <c r="H261" s="82"/>
      <c r="I261" s="16"/>
      <c r="J261" s="62"/>
      <c r="K261" s="62"/>
      <c r="L261" s="62"/>
      <c r="M261" s="16" t="s">
        <v>4389</v>
      </c>
      <c r="N261" s="62"/>
      <c r="O261" s="62"/>
      <c r="P261" s="16"/>
      <c r="Q261" s="62"/>
      <c r="R261" s="62"/>
      <c r="S261" s="62"/>
    </row>
    <row r="262" spans="1:19" x14ac:dyDescent="0.2">
      <c r="A262" s="7"/>
      <c r="B262" s="7"/>
      <c r="C262" s="7"/>
      <c r="D262" s="24"/>
      <c r="I262" s="7"/>
      <c r="M262" s="7"/>
      <c r="P262" s="7"/>
    </row>
    <row r="263" spans="1:19" s="106" customFormat="1" x14ac:dyDescent="0.2">
      <c r="A263" s="16" t="s">
        <v>21</v>
      </c>
      <c r="B263" s="16" t="s">
        <v>4372</v>
      </c>
      <c r="C263" s="16"/>
      <c r="D263" s="82"/>
      <c r="E263" s="16"/>
      <c r="F263" s="82"/>
      <c r="G263" s="16"/>
      <c r="H263" s="82"/>
      <c r="I263" s="16"/>
      <c r="J263" s="62"/>
      <c r="K263" s="62"/>
      <c r="L263" s="62"/>
      <c r="M263" s="16" t="s">
        <v>4378</v>
      </c>
      <c r="N263" s="62"/>
      <c r="O263" s="62"/>
      <c r="P263" s="16"/>
      <c r="Q263" s="62"/>
      <c r="R263" s="62"/>
      <c r="S263" s="62"/>
    </row>
    <row r="264" spans="1:19" s="106" customFormat="1" x14ac:dyDescent="0.2">
      <c r="A264" s="16" t="s">
        <v>21</v>
      </c>
      <c r="B264" s="16" t="s">
        <v>4373</v>
      </c>
      <c r="C264" s="16"/>
      <c r="D264" s="82"/>
      <c r="E264" s="16"/>
      <c r="F264" s="82"/>
      <c r="G264" s="16"/>
      <c r="H264" s="82"/>
      <c r="I264" s="16"/>
      <c r="J264" s="62"/>
      <c r="K264" s="62"/>
      <c r="L264" s="62"/>
      <c r="M264" s="16" t="s">
        <v>4390</v>
      </c>
      <c r="N264" s="62"/>
      <c r="O264" s="62"/>
      <c r="P264" s="16"/>
      <c r="Q264" s="62"/>
      <c r="R264" s="62"/>
      <c r="S264" s="62"/>
    </row>
    <row r="265" spans="1:19" s="106" customFormat="1" x14ac:dyDescent="0.2">
      <c r="A265" s="16" t="s">
        <v>21</v>
      </c>
      <c r="B265" s="16" t="s">
        <v>4374</v>
      </c>
      <c r="C265" s="16"/>
      <c r="D265" s="82"/>
      <c r="E265" s="16"/>
      <c r="F265" s="82"/>
      <c r="G265" s="16"/>
      <c r="H265" s="82"/>
      <c r="I265" s="16"/>
      <c r="J265" s="62"/>
      <c r="K265" s="62"/>
      <c r="L265" s="62"/>
      <c r="M265" s="16" t="s">
        <v>4391</v>
      </c>
      <c r="N265" s="62"/>
      <c r="O265" s="62"/>
      <c r="P265" s="16"/>
      <c r="Q265" s="62"/>
      <c r="R265" s="62"/>
      <c r="S265" s="62"/>
    </row>
    <row r="266" spans="1:19" s="106" customFormat="1" x14ac:dyDescent="0.2">
      <c r="A266" s="16" t="s">
        <v>21</v>
      </c>
      <c r="B266" s="16" t="s">
        <v>4375</v>
      </c>
      <c r="C266" s="16"/>
      <c r="D266" s="82"/>
      <c r="E266" s="16"/>
      <c r="F266" s="82"/>
      <c r="G266" s="16"/>
      <c r="H266" s="82"/>
      <c r="I266" s="16"/>
      <c r="J266" s="62"/>
      <c r="K266" s="62"/>
      <c r="L266" s="62"/>
      <c r="M266" s="16" t="s">
        <v>4392</v>
      </c>
      <c r="N266" s="62"/>
      <c r="O266" s="62"/>
      <c r="P266" s="16"/>
      <c r="Q266" s="62"/>
      <c r="R266" s="62"/>
      <c r="S266" s="62"/>
    </row>
    <row r="267" spans="1:19" s="106" customFormat="1" x14ac:dyDescent="0.2">
      <c r="A267" s="16" t="s">
        <v>21</v>
      </c>
      <c r="B267" s="16" t="s">
        <v>4376</v>
      </c>
      <c r="C267" s="16"/>
      <c r="D267" s="82"/>
      <c r="E267" s="16"/>
      <c r="F267" s="82"/>
      <c r="G267" s="16"/>
      <c r="H267" s="82"/>
      <c r="I267" s="16"/>
      <c r="J267" s="62"/>
      <c r="K267" s="62"/>
      <c r="L267" s="62"/>
      <c r="M267" s="16" t="s">
        <v>4393</v>
      </c>
      <c r="N267" s="62"/>
      <c r="O267" s="62"/>
      <c r="P267" s="16"/>
      <c r="Q267" s="62"/>
      <c r="R267" s="62"/>
      <c r="S267" s="62"/>
    </row>
    <row r="268" spans="1:19" s="106" customFormat="1" x14ac:dyDescent="0.2">
      <c r="A268" s="16" t="s">
        <v>21</v>
      </c>
      <c r="B268" s="16" t="s">
        <v>4377</v>
      </c>
      <c r="C268" s="16"/>
      <c r="D268" s="82"/>
      <c r="E268" s="16"/>
      <c r="F268" s="82"/>
      <c r="G268" s="16"/>
      <c r="H268" s="82"/>
      <c r="I268" s="16"/>
      <c r="J268" s="62"/>
      <c r="K268" s="62"/>
      <c r="L268" s="62"/>
      <c r="M268" s="16" t="s">
        <v>4394</v>
      </c>
      <c r="N268" s="62"/>
      <c r="O268" s="62"/>
      <c r="P268" s="16"/>
      <c r="Q268" s="62"/>
      <c r="R268" s="62"/>
      <c r="S268" s="62"/>
    </row>
    <row r="269" spans="1:19" x14ac:dyDescent="0.2">
      <c r="A269" s="7"/>
      <c r="B269" s="7"/>
      <c r="C269" s="7"/>
      <c r="D269" s="24"/>
      <c r="I269" s="7"/>
      <c r="M269" s="7"/>
      <c r="P269" s="7"/>
    </row>
    <row r="270" spans="1:19" x14ac:dyDescent="0.2">
      <c r="A270" s="7"/>
      <c r="B270" s="7"/>
      <c r="C270" s="7"/>
      <c r="D270" s="24"/>
      <c r="I270" s="7"/>
      <c r="M270" s="7"/>
      <c r="P270" s="7"/>
    </row>
    <row r="271" spans="1:19" ht="20.25" customHeight="1" x14ac:dyDescent="0.2">
      <c r="A271" s="41" t="s">
        <v>55</v>
      </c>
      <c r="B271" s="41" t="s">
        <v>3932</v>
      </c>
      <c r="C271" s="41" t="s">
        <v>3933</v>
      </c>
      <c r="D271" s="77"/>
      <c r="E271" s="41"/>
      <c r="F271" s="77"/>
      <c r="G271" s="41"/>
      <c r="H271" s="77"/>
      <c r="I271" s="41"/>
      <c r="J271" s="41"/>
      <c r="K271" s="41"/>
      <c r="L271" s="41" t="s">
        <v>4344</v>
      </c>
      <c r="M271" s="41"/>
      <c r="N271" s="41"/>
      <c r="O271" s="41" t="s">
        <v>4403</v>
      </c>
      <c r="P271" s="41"/>
      <c r="Q271" s="41"/>
      <c r="R271" s="41"/>
      <c r="S271" s="41"/>
    </row>
    <row r="272" spans="1:19" outlineLevel="1" x14ac:dyDescent="0.2">
      <c r="A272" s="25" t="s">
        <v>21</v>
      </c>
      <c r="B272" s="25" t="s">
        <v>3934</v>
      </c>
      <c r="C272" s="25"/>
      <c r="D272" s="26"/>
      <c r="E272" s="25"/>
      <c r="F272" s="26"/>
      <c r="G272" s="25"/>
      <c r="H272" s="26"/>
      <c r="I272" s="25"/>
      <c r="J272" s="25"/>
      <c r="K272" s="25"/>
      <c r="L272" s="25"/>
      <c r="M272" s="25" t="s">
        <v>548</v>
      </c>
      <c r="N272" s="25"/>
      <c r="O272" s="25"/>
      <c r="P272" s="25"/>
      <c r="Q272" s="25"/>
      <c r="R272" s="25"/>
      <c r="S272" s="25"/>
    </row>
    <row r="273" spans="1:19" s="106" customFormat="1" outlineLevel="1" x14ac:dyDescent="0.2">
      <c r="A273" s="25" t="s">
        <v>21</v>
      </c>
      <c r="B273" s="16" t="s">
        <v>4345</v>
      </c>
      <c r="C273" s="16"/>
      <c r="D273" s="82"/>
      <c r="E273" s="16"/>
      <c r="F273" s="82"/>
      <c r="G273" s="16"/>
      <c r="H273" s="82"/>
      <c r="I273" s="16"/>
      <c r="J273" s="16"/>
      <c r="K273" s="16"/>
      <c r="L273" s="16"/>
      <c r="M273" s="16" t="s">
        <v>4346</v>
      </c>
      <c r="N273" s="16"/>
      <c r="O273" s="16"/>
      <c r="P273" s="16"/>
      <c r="Q273" s="16"/>
      <c r="R273" s="16"/>
      <c r="S273" s="16"/>
    </row>
    <row r="274" spans="1:19" outlineLevel="1" x14ac:dyDescent="0.2">
      <c r="A274" s="25" t="s">
        <v>21</v>
      </c>
      <c r="B274" s="25" t="s">
        <v>3935</v>
      </c>
      <c r="C274" s="25"/>
      <c r="D274" s="26"/>
      <c r="E274" s="25"/>
      <c r="F274" s="26"/>
      <c r="G274" s="25"/>
      <c r="H274" s="26"/>
      <c r="I274" s="25"/>
      <c r="J274" s="25"/>
      <c r="K274" s="25"/>
      <c r="L274" s="25"/>
      <c r="M274" s="25" t="s">
        <v>4349</v>
      </c>
      <c r="N274" s="25"/>
      <c r="O274" s="25"/>
      <c r="P274" s="25"/>
      <c r="Q274" s="25"/>
      <c r="R274" s="25"/>
      <c r="S274" s="25"/>
    </row>
    <row r="275" spans="1:19" ht="15" outlineLevel="1" x14ac:dyDescent="0.25">
      <c r="A275" s="30" t="s">
        <v>21</v>
      </c>
      <c r="B275" s="30" t="s">
        <v>3936</v>
      </c>
      <c r="C275" s="32"/>
      <c r="D275" s="78"/>
      <c r="E275" s="30"/>
      <c r="F275" s="31"/>
      <c r="G275" s="30"/>
      <c r="H275" s="31"/>
      <c r="I275" s="32"/>
      <c r="J275" s="32"/>
      <c r="K275" s="32"/>
      <c r="L275" s="32"/>
      <c r="M275" s="107" t="s">
        <v>4350</v>
      </c>
      <c r="N275" s="32"/>
      <c r="O275" s="32"/>
      <c r="P275" s="32"/>
      <c r="Q275" s="32"/>
      <c r="R275" s="32"/>
      <c r="S275" s="32"/>
    </row>
    <row r="276" spans="1:19" ht="15" outlineLevel="1" x14ac:dyDescent="0.25">
      <c r="A276" s="30" t="s">
        <v>21</v>
      </c>
      <c r="B276" s="30" t="s">
        <v>3937</v>
      </c>
      <c r="C276" s="32"/>
      <c r="D276" s="78"/>
      <c r="E276" s="30"/>
      <c r="F276" s="31"/>
      <c r="G276" s="30"/>
      <c r="H276" s="31"/>
      <c r="I276" s="32"/>
      <c r="J276" s="32"/>
      <c r="K276" s="32"/>
      <c r="L276" s="32"/>
      <c r="M276" s="107" t="s">
        <v>4351</v>
      </c>
      <c r="N276" s="32"/>
      <c r="O276" s="32"/>
      <c r="P276" s="32"/>
      <c r="Q276" s="32"/>
      <c r="R276" s="32"/>
      <c r="S276" s="32"/>
    </row>
    <row r="277" spans="1:19" ht="15" outlineLevel="1" x14ac:dyDescent="0.25">
      <c r="A277" s="25" t="s">
        <v>21</v>
      </c>
      <c r="B277" s="25" t="s">
        <v>3938</v>
      </c>
      <c r="C277" s="25"/>
      <c r="D277" s="26"/>
      <c r="E277" s="25"/>
      <c r="F277" s="26"/>
      <c r="G277" s="25"/>
      <c r="H277" s="26"/>
      <c r="I277" s="25"/>
      <c r="J277" s="25"/>
      <c r="K277" s="25"/>
      <c r="L277" s="25"/>
      <c r="M277" s="107" t="s">
        <v>4355</v>
      </c>
      <c r="N277" s="25"/>
      <c r="O277" s="25"/>
      <c r="P277" s="25"/>
      <c r="Q277" s="25"/>
      <c r="R277" s="25"/>
      <c r="S277" s="25"/>
    </row>
    <row r="278" spans="1:19" ht="15" outlineLevel="1" x14ac:dyDescent="0.25">
      <c r="A278" s="25" t="s">
        <v>21</v>
      </c>
      <c r="B278" s="25" t="s">
        <v>4352</v>
      </c>
      <c r="C278" s="25"/>
      <c r="D278" s="26"/>
      <c r="E278" s="25"/>
      <c r="F278" s="26"/>
      <c r="G278" s="25"/>
      <c r="H278" s="26"/>
      <c r="I278" s="25"/>
      <c r="J278" s="25"/>
      <c r="K278" s="25"/>
      <c r="L278" s="25"/>
      <c r="M278" s="107" t="s">
        <v>4353</v>
      </c>
      <c r="N278" s="25"/>
      <c r="O278" s="25"/>
      <c r="P278" s="25"/>
      <c r="Q278" s="25"/>
      <c r="R278" s="25"/>
      <c r="S278" s="25"/>
    </row>
    <row r="279" spans="1:19" s="105" customFormat="1" ht="18.75" x14ac:dyDescent="0.25">
      <c r="A279" s="65" t="s">
        <v>16</v>
      </c>
      <c r="B279" s="65" t="s">
        <v>4354</v>
      </c>
      <c r="C279" s="65" t="s">
        <v>3745</v>
      </c>
      <c r="D279" s="64"/>
      <c r="E279" s="65"/>
      <c r="F279" s="64"/>
      <c r="G279" s="65"/>
      <c r="H279" s="64"/>
      <c r="I279" s="65"/>
      <c r="J279" s="35"/>
      <c r="K279" s="35"/>
      <c r="L279" s="35"/>
      <c r="M279" s="35"/>
      <c r="N279" s="35"/>
      <c r="O279" s="35" t="s">
        <v>4356</v>
      </c>
      <c r="P279" s="35"/>
      <c r="Q279" s="35"/>
      <c r="R279" s="35"/>
      <c r="S279" s="35"/>
    </row>
    <row r="280" spans="1:19" ht="15.75" x14ac:dyDescent="0.2">
      <c r="A280" s="8" t="s">
        <v>1892</v>
      </c>
      <c r="B280" s="7" t="s">
        <v>3939</v>
      </c>
      <c r="C280" s="7" t="s">
        <v>3953</v>
      </c>
      <c r="D280" s="24"/>
      <c r="E280" s="7" t="s">
        <v>3965</v>
      </c>
      <c r="G280" s="7" t="s">
        <v>3988</v>
      </c>
      <c r="I280" s="7"/>
      <c r="K280" s="37" t="s">
        <v>17</v>
      </c>
      <c r="M280" s="7"/>
      <c r="O280" s="41"/>
      <c r="P280" s="7"/>
    </row>
    <row r="281" spans="1:19" x14ac:dyDescent="0.2">
      <c r="A281" s="7" t="s">
        <v>1899</v>
      </c>
      <c r="B281" s="7" t="s">
        <v>3940</v>
      </c>
      <c r="C281" s="7" t="s">
        <v>3954</v>
      </c>
      <c r="D281" s="24"/>
      <c r="E281" s="7" t="s">
        <v>3966</v>
      </c>
      <c r="G281" s="7" t="s">
        <v>3977</v>
      </c>
      <c r="I281" s="7"/>
      <c r="K281" s="37" t="s">
        <v>17</v>
      </c>
      <c r="M281" s="7"/>
      <c r="P281" s="7"/>
    </row>
    <row r="282" spans="1:19" x14ac:dyDescent="0.2">
      <c r="A282" s="8" t="s">
        <v>4011</v>
      </c>
      <c r="B282" s="7" t="s">
        <v>3943</v>
      </c>
      <c r="C282" s="7" t="s">
        <v>3955</v>
      </c>
      <c r="D282" s="24"/>
      <c r="E282" s="7" t="s">
        <v>3967</v>
      </c>
      <c r="G282" s="7" t="s">
        <v>3978</v>
      </c>
      <c r="I282" s="7"/>
      <c r="K282" s="37" t="s">
        <v>17</v>
      </c>
      <c r="M282" s="7"/>
      <c r="O282" s="8" t="s">
        <v>4339</v>
      </c>
      <c r="P282" s="7"/>
    </row>
    <row r="283" spans="1:19" outlineLevel="1" x14ac:dyDescent="0.2">
      <c r="A283" s="7" t="s">
        <v>26</v>
      </c>
      <c r="B283" s="37" t="s">
        <v>4012</v>
      </c>
      <c r="C283" s="7" t="s">
        <v>320</v>
      </c>
      <c r="D283" s="24"/>
      <c r="E283" s="7" t="s">
        <v>61</v>
      </c>
      <c r="G283" s="7" t="s">
        <v>1012</v>
      </c>
      <c r="I283" s="63"/>
      <c r="J283" s="7"/>
      <c r="K283" s="7" t="s">
        <v>17</v>
      </c>
      <c r="L283" s="7"/>
      <c r="M283" s="7"/>
      <c r="N283" s="7"/>
      <c r="O283" s="37" t="s">
        <v>4013</v>
      </c>
      <c r="P283" s="7"/>
      <c r="Q283" s="7"/>
      <c r="R283" s="7"/>
      <c r="S283" s="7"/>
    </row>
    <row r="284" spans="1:19" x14ac:dyDescent="0.2">
      <c r="A284" s="7" t="s">
        <v>1886</v>
      </c>
      <c r="B284" s="7" t="s">
        <v>3942</v>
      </c>
      <c r="C284" s="7" t="s">
        <v>3956</v>
      </c>
      <c r="D284" s="24"/>
      <c r="E284" s="7" t="s">
        <v>3968</v>
      </c>
      <c r="G284" s="7" t="s">
        <v>3979</v>
      </c>
      <c r="I284" s="7"/>
      <c r="K284" s="37" t="s">
        <v>17</v>
      </c>
      <c r="M284" s="7"/>
      <c r="O284" s="37" t="s">
        <v>4085</v>
      </c>
      <c r="P284" s="7"/>
    </row>
    <row r="285" spans="1:19" x14ac:dyDescent="0.2">
      <c r="A285" s="7" t="s">
        <v>4384</v>
      </c>
      <c r="B285" s="7" t="s">
        <v>3941</v>
      </c>
      <c r="C285" s="7" t="s">
        <v>3957</v>
      </c>
      <c r="D285" s="24"/>
      <c r="E285" s="7" t="s">
        <v>3969</v>
      </c>
      <c r="G285" s="7" t="s">
        <v>3980</v>
      </c>
      <c r="I285" s="7"/>
      <c r="K285" s="37" t="s">
        <v>17</v>
      </c>
      <c r="M285" s="7"/>
      <c r="O285" s="37" t="s">
        <v>4080</v>
      </c>
      <c r="P285" s="7"/>
      <c r="R285" s="36" t="s">
        <v>1907</v>
      </c>
    </row>
    <row r="286" spans="1:19" x14ac:dyDescent="0.2">
      <c r="A286" s="7" t="s">
        <v>1886</v>
      </c>
      <c r="B286" s="7" t="s">
        <v>3945</v>
      </c>
      <c r="C286" s="7" t="s">
        <v>3958</v>
      </c>
      <c r="D286" s="24"/>
      <c r="E286" s="7" t="s">
        <v>3970</v>
      </c>
      <c r="G286" s="7" t="s">
        <v>3981</v>
      </c>
      <c r="I286" s="7"/>
      <c r="K286" s="37" t="s">
        <v>17</v>
      </c>
      <c r="M286" s="7"/>
      <c r="P286" s="7"/>
    </row>
    <row r="287" spans="1:19" x14ac:dyDescent="0.2">
      <c r="A287" s="7" t="s">
        <v>4384</v>
      </c>
      <c r="B287" s="7" t="s">
        <v>3944</v>
      </c>
      <c r="C287" s="7" t="s">
        <v>3959</v>
      </c>
      <c r="D287" s="24"/>
      <c r="E287" s="7" t="s">
        <v>3971</v>
      </c>
      <c r="G287" s="7" t="s">
        <v>3982</v>
      </c>
      <c r="I287" s="7"/>
      <c r="K287" s="37" t="s">
        <v>17</v>
      </c>
      <c r="M287" s="7"/>
      <c r="O287" s="37" t="s">
        <v>4081</v>
      </c>
      <c r="P287" s="7"/>
      <c r="R287" s="36" t="s">
        <v>1907</v>
      </c>
    </row>
    <row r="288" spans="1:19" x14ac:dyDescent="0.2">
      <c r="A288" s="7" t="s">
        <v>4053</v>
      </c>
      <c r="B288" s="7" t="s">
        <v>3946</v>
      </c>
      <c r="C288" s="7" t="s">
        <v>3960</v>
      </c>
      <c r="D288" s="24"/>
      <c r="E288" s="7" t="s">
        <v>3972</v>
      </c>
      <c r="G288" s="7" t="s">
        <v>3983</v>
      </c>
      <c r="I288" s="7"/>
      <c r="K288" s="37" t="s">
        <v>17</v>
      </c>
      <c r="M288" s="7"/>
      <c r="O288" s="37" t="s">
        <v>4082</v>
      </c>
      <c r="P288" s="7"/>
    </row>
    <row r="289" spans="1:19" x14ac:dyDescent="0.2">
      <c r="A289" s="7" t="s">
        <v>1886</v>
      </c>
      <c r="B289" s="7" t="s">
        <v>3947</v>
      </c>
      <c r="C289" s="7" t="s">
        <v>3961</v>
      </c>
      <c r="D289" s="24"/>
      <c r="E289" s="7" t="s">
        <v>3973</v>
      </c>
      <c r="G289" s="7" t="s">
        <v>3984</v>
      </c>
      <c r="I289" s="7"/>
      <c r="K289" s="37" t="s">
        <v>17</v>
      </c>
      <c r="M289" s="7"/>
      <c r="P289" s="7"/>
    </row>
    <row r="290" spans="1:19" x14ac:dyDescent="0.2">
      <c r="A290" s="7" t="s">
        <v>4384</v>
      </c>
      <c r="B290" s="7" t="s">
        <v>3948</v>
      </c>
      <c r="C290" s="7" t="s">
        <v>3962</v>
      </c>
      <c r="D290" s="24"/>
      <c r="E290" s="7" t="s">
        <v>3974</v>
      </c>
      <c r="G290" s="7" t="s">
        <v>3985</v>
      </c>
      <c r="I290" s="7"/>
      <c r="K290" s="37" t="s">
        <v>17</v>
      </c>
      <c r="M290" s="7"/>
      <c r="O290" s="37" t="s">
        <v>4083</v>
      </c>
      <c r="P290" s="7"/>
      <c r="R290" s="36" t="s">
        <v>1907</v>
      </c>
    </row>
    <row r="291" spans="1:19" x14ac:dyDescent="0.2">
      <c r="A291" s="7" t="s">
        <v>4053</v>
      </c>
      <c r="B291" s="7" t="s">
        <v>3949</v>
      </c>
      <c r="C291" s="7" t="s">
        <v>3963</v>
      </c>
      <c r="D291" s="24"/>
      <c r="E291" s="7" t="s">
        <v>3975</v>
      </c>
      <c r="G291" s="7" t="s">
        <v>3986</v>
      </c>
      <c r="I291" s="7"/>
      <c r="K291" s="37" t="s">
        <v>17</v>
      </c>
      <c r="M291" s="7"/>
      <c r="O291" s="37" t="s">
        <v>4084</v>
      </c>
      <c r="P291" s="7"/>
    </row>
    <row r="292" spans="1:19" x14ac:dyDescent="0.2">
      <c r="A292" s="7" t="s">
        <v>4055</v>
      </c>
      <c r="B292" s="7" t="s">
        <v>4054</v>
      </c>
      <c r="C292" s="7" t="s">
        <v>3964</v>
      </c>
      <c r="D292" s="24" t="s">
        <v>3950</v>
      </c>
      <c r="E292" s="7" t="s">
        <v>3976</v>
      </c>
      <c r="F292" s="24" t="s">
        <v>3951</v>
      </c>
      <c r="G292" s="7" t="s">
        <v>3987</v>
      </c>
      <c r="H292" s="24" t="s">
        <v>3952</v>
      </c>
      <c r="I292" s="7"/>
      <c r="K292" s="37" t="s">
        <v>17</v>
      </c>
      <c r="M292" s="7"/>
      <c r="P292" s="7"/>
    </row>
    <row r="293" spans="1:19" s="108" customFormat="1" ht="18.75" x14ac:dyDescent="0.2">
      <c r="A293" s="65" t="s">
        <v>48</v>
      </c>
      <c r="B293" s="65" t="s">
        <v>2803</v>
      </c>
      <c r="C293" s="35"/>
      <c r="D293" s="83"/>
      <c r="E293" s="65"/>
      <c r="F293" s="64"/>
      <c r="G293" s="65"/>
      <c r="H293" s="64"/>
      <c r="I293" s="35"/>
      <c r="J293" s="35"/>
      <c r="K293" s="35"/>
      <c r="L293" s="35"/>
      <c r="M293" s="35"/>
      <c r="N293" s="35"/>
      <c r="O293" s="35"/>
      <c r="P293" s="35"/>
      <c r="Q293" s="35"/>
      <c r="R293" s="35"/>
      <c r="S293" s="35"/>
    </row>
    <row r="294" spans="1:19" ht="15.75" x14ac:dyDescent="0.2">
      <c r="A294" s="41" t="s">
        <v>56</v>
      </c>
      <c r="B294" s="41"/>
      <c r="C294" s="41"/>
      <c r="D294" s="77"/>
      <c r="E294" s="41"/>
      <c r="F294" s="77"/>
      <c r="G294" s="41"/>
      <c r="H294" s="77"/>
      <c r="I294" s="41"/>
      <c r="J294" s="41"/>
      <c r="K294" s="41"/>
      <c r="L294" s="41"/>
      <c r="M294" s="41"/>
      <c r="N294" s="41"/>
      <c r="O294" s="41"/>
      <c r="P294" s="41"/>
      <c r="Q294" s="41"/>
      <c r="R294" s="41"/>
      <c r="S294" s="41"/>
    </row>
    <row r="295" spans="1:19" x14ac:dyDescent="0.2">
      <c r="A295" s="7"/>
      <c r="B295" s="7"/>
      <c r="C295" s="7"/>
      <c r="D295" s="24"/>
      <c r="I295" s="7"/>
      <c r="M295" s="7"/>
      <c r="P295" s="7"/>
    </row>
    <row r="296" spans="1:19" x14ac:dyDescent="0.2">
      <c r="A296" s="7"/>
      <c r="B296" s="7"/>
      <c r="C296" s="7"/>
      <c r="D296" s="24"/>
      <c r="I296" s="7"/>
      <c r="M296" s="7"/>
      <c r="P296" s="7"/>
    </row>
    <row r="297" spans="1:19" x14ac:dyDescent="0.2">
      <c r="A297" s="7"/>
      <c r="B297" s="7"/>
      <c r="C297" s="7"/>
      <c r="D297" s="24"/>
      <c r="I297" s="7"/>
      <c r="M297" s="7"/>
      <c r="P297" s="7"/>
    </row>
    <row r="298" spans="1:19" s="108" customFormat="1" ht="18.75" x14ac:dyDescent="0.2">
      <c r="A298" s="65" t="s">
        <v>48</v>
      </c>
      <c r="B298" s="65" t="s">
        <v>2803</v>
      </c>
      <c r="C298" s="35"/>
      <c r="D298" s="83"/>
      <c r="E298" s="65"/>
      <c r="F298" s="64"/>
      <c r="G298" s="65"/>
      <c r="H298" s="64"/>
      <c r="I298" s="35"/>
      <c r="J298" s="35"/>
      <c r="K298" s="35"/>
      <c r="L298" s="35"/>
      <c r="M298" s="35"/>
      <c r="N298" s="35"/>
      <c r="O298" s="35"/>
      <c r="P298" s="35"/>
      <c r="Q298" s="35"/>
      <c r="R298" s="35"/>
      <c r="S298" s="35"/>
    </row>
    <row r="299" spans="1:19" x14ac:dyDescent="0.2">
      <c r="A299" s="7" t="s">
        <v>1902</v>
      </c>
      <c r="B299" s="7" t="s">
        <v>2804</v>
      </c>
      <c r="C299" s="7" t="s">
        <v>761</v>
      </c>
      <c r="D299" s="24" t="s">
        <v>756</v>
      </c>
      <c r="E299" s="7" t="s">
        <v>3053</v>
      </c>
      <c r="F299" s="24" t="s">
        <v>2186</v>
      </c>
      <c r="G299" s="7" t="s">
        <v>3054</v>
      </c>
      <c r="H299" s="24" t="s">
        <v>3011</v>
      </c>
      <c r="J299" s="8" t="s">
        <v>806</v>
      </c>
      <c r="K299" s="7" t="s">
        <v>17</v>
      </c>
      <c r="O299" s="7" t="s">
        <v>29</v>
      </c>
    </row>
    <row r="300" spans="1:19" x14ac:dyDescent="0.2">
      <c r="A300" s="25" t="s">
        <v>21</v>
      </c>
      <c r="B300" s="25" t="s">
        <v>3260</v>
      </c>
      <c r="C300" s="25"/>
      <c r="D300" s="26"/>
      <c r="E300" s="25"/>
      <c r="F300" s="26"/>
      <c r="G300" s="25"/>
      <c r="H300" s="26"/>
      <c r="I300" s="25"/>
      <c r="J300" s="25"/>
      <c r="K300" s="25"/>
      <c r="L300" s="25"/>
      <c r="M300" s="25" t="s">
        <v>2805</v>
      </c>
      <c r="N300" s="25"/>
      <c r="O300" s="25"/>
      <c r="P300" s="25"/>
      <c r="Q300" s="25"/>
      <c r="R300" s="25"/>
      <c r="S300" s="25"/>
    </row>
    <row r="301" spans="1:19" x14ac:dyDescent="0.2">
      <c r="A301" s="7"/>
      <c r="B301" s="7"/>
      <c r="C301" s="7"/>
      <c r="D301" s="24"/>
      <c r="I301" s="7"/>
      <c r="J301" s="7"/>
      <c r="K301" s="7"/>
    </row>
    <row r="302" spans="1:19" s="105" customFormat="1" ht="18.75" x14ac:dyDescent="0.25">
      <c r="A302" s="65" t="s">
        <v>16</v>
      </c>
      <c r="B302" s="65" t="s">
        <v>2806</v>
      </c>
      <c r="C302" s="65" t="s">
        <v>1904</v>
      </c>
      <c r="D302" s="64"/>
      <c r="E302" s="65" t="s">
        <v>1038</v>
      </c>
      <c r="F302" s="64"/>
      <c r="G302" s="65" t="s">
        <v>1037</v>
      </c>
      <c r="H302" s="64"/>
      <c r="I302" s="65"/>
      <c r="J302" s="35"/>
      <c r="K302" s="35"/>
      <c r="L302" s="35"/>
      <c r="M302" s="35"/>
      <c r="N302" s="35"/>
      <c r="O302" s="35" t="s">
        <v>29</v>
      </c>
      <c r="P302" s="35"/>
      <c r="Q302" s="35"/>
      <c r="R302" s="35"/>
      <c r="S302" s="35"/>
    </row>
    <row r="303" spans="1:19" x14ac:dyDescent="0.2">
      <c r="A303" s="7"/>
      <c r="B303" s="7"/>
      <c r="C303" s="7"/>
      <c r="D303" s="24"/>
      <c r="I303" s="7"/>
    </row>
    <row r="304" spans="1:19" x14ac:dyDescent="0.2">
      <c r="A304" s="7" t="s">
        <v>1886</v>
      </c>
      <c r="B304" s="7" t="s">
        <v>1039</v>
      </c>
      <c r="C304" s="7" t="s">
        <v>1972</v>
      </c>
      <c r="D304" s="24"/>
      <c r="E304" s="7" t="s">
        <v>1973</v>
      </c>
      <c r="G304" s="7" t="s">
        <v>1974</v>
      </c>
      <c r="I304" s="7"/>
      <c r="K304" s="7" t="s">
        <v>17</v>
      </c>
    </row>
    <row r="305" spans="1:19" x14ac:dyDescent="0.2">
      <c r="A305" s="7" t="s">
        <v>28</v>
      </c>
      <c r="B305" s="7" t="s">
        <v>1040</v>
      </c>
      <c r="C305" s="7" t="s">
        <v>1975</v>
      </c>
      <c r="D305" s="24"/>
      <c r="E305" s="7" t="s">
        <v>1976</v>
      </c>
      <c r="G305" s="7" t="s">
        <v>1977</v>
      </c>
      <c r="I305" s="7"/>
      <c r="J305" s="8" t="s">
        <v>3098</v>
      </c>
      <c r="K305" s="7" t="s">
        <v>17</v>
      </c>
      <c r="O305" s="7" t="s">
        <v>1042</v>
      </c>
    </row>
    <row r="306" spans="1:19" x14ac:dyDescent="0.2">
      <c r="A306" s="7" t="s">
        <v>1981</v>
      </c>
      <c r="B306" s="7" t="s">
        <v>1041</v>
      </c>
      <c r="C306" s="7" t="s">
        <v>1978</v>
      </c>
      <c r="D306" s="24"/>
      <c r="E306" s="7" t="s">
        <v>1979</v>
      </c>
      <c r="G306" s="7" t="s">
        <v>1980</v>
      </c>
      <c r="I306" s="7"/>
      <c r="K306" s="8" t="s">
        <v>17</v>
      </c>
      <c r="O306" s="7" t="s">
        <v>1042</v>
      </c>
    </row>
    <row r="307" spans="1:19" x14ac:dyDescent="0.2">
      <c r="A307" s="7"/>
    </row>
    <row r="308" spans="1:19" ht="21.75" customHeight="1" x14ac:dyDescent="0.2">
      <c r="A308" s="43" t="s">
        <v>16</v>
      </c>
      <c r="B308" s="43" t="s">
        <v>52</v>
      </c>
      <c r="C308" s="43" t="s">
        <v>53</v>
      </c>
      <c r="D308" s="84"/>
      <c r="E308" s="43" t="s">
        <v>251</v>
      </c>
      <c r="F308" s="84"/>
      <c r="G308" s="43" t="s">
        <v>251</v>
      </c>
      <c r="H308" s="84"/>
      <c r="I308" s="43"/>
      <c r="J308" s="42"/>
      <c r="K308" s="42"/>
      <c r="L308" s="42"/>
      <c r="M308" s="42"/>
      <c r="N308" s="42"/>
      <c r="O308" s="42" t="s">
        <v>29</v>
      </c>
      <c r="P308" s="43" t="s">
        <v>47</v>
      </c>
      <c r="Q308" s="42"/>
      <c r="R308" s="42"/>
      <c r="S308" s="42"/>
    </row>
    <row r="309" spans="1:19" outlineLevel="1" x14ac:dyDescent="0.2">
      <c r="A309" s="7" t="s">
        <v>28</v>
      </c>
      <c r="B309" s="7" t="s">
        <v>1043</v>
      </c>
      <c r="C309" s="7" t="s">
        <v>2009</v>
      </c>
      <c r="D309" s="24"/>
      <c r="E309" s="7" t="s">
        <v>2010</v>
      </c>
      <c r="G309" s="7" t="s">
        <v>3012</v>
      </c>
      <c r="I309" s="7"/>
      <c r="J309" s="8" t="s">
        <v>3099</v>
      </c>
      <c r="K309" s="7" t="s">
        <v>17</v>
      </c>
    </row>
    <row r="310" spans="1:19" outlineLevel="1" x14ac:dyDescent="0.2">
      <c r="A310" s="7" t="s">
        <v>28</v>
      </c>
      <c r="B310" s="7" t="s">
        <v>1044</v>
      </c>
      <c r="C310" s="7" t="s">
        <v>2011</v>
      </c>
      <c r="D310" s="24"/>
      <c r="E310" s="7" t="s">
        <v>2012</v>
      </c>
      <c r="G310" s="7" t="s">
        <v>3013</v>
      </c>
      <c r="I310" s="7"/>
      <c r="J310" s="8" t="s">
        <v>3099</v>
      </c>
      <c r="K310" s="7" t="s">
        <v>17</v>
      </c>
    </row>
    <row r="311" spans="1:19" outlineLevel="1" x14ac:dyDescent="0.2"/>
    <row r="312" spans="1:19" ht="15.75" x14ac:dyDescent="0.2">
      <c r="A312" s="43" t="s">
        <v>48</v>
      </c>
      <c r="B312" s="43" t="s">
        <v>52</v>
      </c>
      <c r="C312" s="42"/>
      <c r="D312" s="85"/>
      <c r="E312" s="43"/>
      <c r="F312" s="84"/>
      <c r="G312" s="43"/>
      <c r="H312" s="84"/>
      <c r="I312" s="42"/>
      <c r="J312" s="42"/>
      <c r="K312" s="42"/>
      <c r="L312" s="42"/>
      <c r="M312" s="42"/>
      <c r="N312" s="42"/>
      <c r="O312" s="42"/>
      <c r="P312" s="42"/>
      <c r="Q312" s="42"/>
      <c r="R312" s="42"/>
      <c r="S312" s="42"/>
    </row>
    <row r="314" spans="1:19" x14ac:dyDescent="0.2">
      <c r="A314" s="7" t="s">
        <v>28</v>
      </c>
      <c r="B314" s="7" t="s">
        <v>1051</v>
      </c>
      <c r="C314" s="7" t="s">
        <v>2013</v>
      </c>
      <c r="D314" s="24"/>
      <c r="E314" s="7" t="s">
        <v>2014</v>
      </c>
      <c r="G314" s="7" t="s">
        <v>3014</v>
      </c>
      <c r="I314" s="7"/>
      <c r="J314" s="7" t="s">
        <v>4397</v>
      </c>
      <c r="K314" s="7" t="s">
        <v>17</v>
      </c>
      <c r="L314" s="7"/>
      <c r="M314" s="7"/>
      <c r="N314" s="7"/>
      <c r="O314" s="7"/>
      <c r="P314" s="7"/>
      <c r="Q314" s="7"/>
      <c r="R314" s="7"/>
      <c r="S314" s="7"/>
    </row>
    <row r="315" spans="1:19" x14ac:dyDescent="0.2">
      <c r="A315" s="7" t="s">
        <v>2018</v>
      </c>
      <c r="B315" s="7" t="s">
        <v>1052</v>
      </c>
      <c r="C315" s="7" t="s">
        <v>2015</v>
      </c>
      <c r="D315" s="24"/>
      <c r="E315" s="7" t="s">
        <v>2016</v>
      </c>
      <c r="G315" s="7" t="s">
        <v>2017</v>
      </c>
      <c r="I315" s="7"/>
      <c r="J315" s="7"/>
      <c r="K315" s="7" t="s">
        <v>17</v>
      </c>
      <c r="L315" s="7"/>
      <c r="M315" s="7"/>
      <c r="N315" s="7"/>
      <c r="O315" s="7"/>
      <c r="P315" s="7"/>
      <c r="Q315" s="7"/>
      <c r="R315" s="7"/>
      <c r="S315" s="7"/>
    </row>
    <row r="316" spans="1:19" x14ac:dyDescent="0.2">
      <c r="A316" s="7" t="s">
        <v>2023</v>
      </c>
      <c r="B316" s="7" t="s">
        <v>1053</v>
      </c>
      <c r="C316" s="7" t="s">
        <v>2020</v>
      </c>
      <c r="D316" s="24"/>
      <c r="E316" s="7" t="s">
        <v>2021</v>
      </c>
      <c r="G316" s="7" t="s">
        <v>2022</v>
      </c>
      <c r="I316" s="7"/>
      <c r="J316" s="7"/>
      <c r="K316" s="7" t="s">
        <v>17</v>
      </c>
      <c r="L316" s="7"/>
      <c r="M316" s="7"/>
      <c r="N316" s="7"/>
      <c r="O316" s="7"/>
      <c r="P316" s="7"/>
      <c r="Q316" s="7"/>
      <c r="R316" s="7"/>
      <c r="S316" s="7"/>
    </row>
    <row r="317" spans="1:19" x14ac:dyDescent="0.2">
      <c r="A317" s="7" t="s">
        <v>28</v>
      </c>
      <c r="B317" s="7" t="s">
        <v>1054</v>
      </c>
      <c r="C317" s="7" t="s">
        <v>2025</v>
      </c>
      <c r="D317" s="24"/>
      <c r="E317" s="7" t="s">
        <v>2026</v>
      </c>
      <c r="G317" s="7" t="s">
        <v>2027</v>
      </c>
      <c r="I317" s="7"/>
      <c r="J317" s="7" t="s">
        <v>4397</v>
      </c>
      <c r="K317" s="7" t="s">
        <v>17</v>
      </c>
      <c r="L317" s="7"/>
      <c r="M317" s="7"/>
      <c r="N317" s="7"/>
      <c r="O317" s="7" t="s">
        <v>1045</v>
      </c>
      <c r="P317" s="7"/>
      <c r="Q317" s="7"/>
      <c r="R317" s="7"/>
      <c r="S317" s="7"/>
    </row>
    <row r="318" spans="1:19" ht="43.5" customHeight="1" x14ac:dyDescent="0.2">
      <c r="A318" s="7" t="s">
        <v>2018</v>
      </c>
      <c r="B318" s="7" t="s">
        <v>1055</v>
      </c>
      <c r="C318" s="7" t="s">
        <v>2028</v>
      </c>
      <c r="D318" s="24"/>
      <c r="E318" s="7" t="s">
        <v>2029</v>
      </c>
      <c r="G318" s="7" t="s">
        <v>2030</v>
      </c>
      <c r="I318" s="7"/>
      <c r="J318" s="7"/>
      <c r="K318" s="7" t="s">
        <v>17</v>
      </c>
      <c r="L318" s="7"/>
      <c r="M318" s="7"/>
      <c r="N318" s="7"/>
      <c r="O318" s="7" t="s">
        <v>1045</v>
      </c>
      <c r="P318" s="7"/>
      <c r="Q318" s="7"/>
      <c r="R318" s="7"/>
      <c r="S318" s="7"/>
    </row>
    <row r="319" spans="1:19" x14ac:dyDescent="0.2">
      <c r="A319" s="7" t="s">
        <v>28</v>
      </c>
      <c r="B319" s="7" t="s">
        <v>1056</v>
      </c>
      <c r="C319" s="7" t="s">
        <v>2031</v>
      </c>
      <c r="D319" s="24"/>
      <c r="E319" s="7" t="s">
        <v>2032</v>
      </c>
      <c r="G319" s="7" t="s">
        <v>2033</v>
      </c>
      <c r="I319" s="7"/>
      <c r="J319" s="7"/>
      <c r="K319" s="7" t="s">
        <v>17</v>
      </c>
      <c r="L319" s="7"/>
      <c r="M319" s="7"/>
      <c r="N319" s="7"/>
      <c r="O319" s="7" t="s">
        <v>1046</v>
      </c>
      <c r="P319" s="7"/>
      <c r="Q319" s="7"/>
      <c r="R319" s="7"/>
      <c r="S319" s="7"/>
    </row>
    <row r="320" spans="1:19" x14ac:dyDescent="0.2">
      <c r="A320" s="7" t="s">
        <v>28</v>
      </c>
      <c r="B320" s="7" t="s">
        <v>1057</v>
      </c>
      <c r="C320" s="7" t="s">
        <v>2034</v>
      </c>
      <c r="D320" s="44" t="s">
        <v>3100</v>
      </c>
      <c r="E320" s="7" t="s">
        <v>2035</v>
      </c>
      <c r="F320" s="44" t="s">
        <v>3101</v>
      </c>
      <c r="G320" s="7" t="s">
        <v>2036</v>
      </c>
      <c r="H320" s="44" t="s">
        <v>3101</v>
      </c>
      <c r="I320" s="7"/>
      <c r="J320" s="7"/>
      <c r="K320" s="7" t="s">
        <v>17</v>
      </c>
      <c r="L320" s="7"/>
      <c r="M320" s="7"/>
      <c r="N320" s="7"/>
      <c r="O320" s="7" t="s">
        <v>3223</v>
      </c>
      <c r="P320" s="7"/>
      <c r="Q320" s="7"/>
      <c r="R320" s="7"/>
      <c r="S320" s="7"/>
    </row>
    <row r="321" spans="1:19" x14ac:dyDescent="0.2">
      <c r="A321" s="7" t="s">
        <v>2018</v>
      </c>
      <c r="B321" s="7" t="s">
        <v>1058</v>
      </c>
      <c r="C321" s="7" t="s">
        <v>2037</v>
      </c>
      <c r="D321" s="24"/>
      <c r="E321" s="7" t="s">
        <v>2038</v>
      </c>
      <c r="G321" s="7" t="s">
        <v>2039</v>
      </c>
      <c r="I321" s="7"/>
      <c r="J321" s="7"/>
      <c r="K321" s="7" t="s">
        <v>17</v>
      </c>
      <c r="L321" s="7"/>
      <c r="M321" s="7"/>
      <c r="N321" s="7"/>
      <c r="O321" s="7" t="s">
        <v>3222</v>
      </c>
      <c r="P321" s="7"/>
      <c r="Q321" s="7"/>
      <c r="R321" s="7"/>
      <c r="S321" s="7"/>
    </row>
    <row r="322" spans="1:19" x14ac:dyDescent="0.2">
      <c r="A322" s="7" t="s">
        <v>1886</v>
      </c>
      <c r="B322" s="7" t="s">
        <v>1059</v>
      </c>
      <c r="C322" s="7" t="s">
        <v>2040</v>
      </c>
      <c r="D322" s="24"/>
      <c r="E322" s="7" t="s">
        <v>2041</v>
      </c>
      <c r="G322" s="7" t="s">
        <v>2042</v>
      </c>
      <c r="I322" s="7"/>
      <c r="J322" s="7"/>
      <c r="K322" s="7" t="s">
        <v>17</v>
      </c>
      <c r="L322" s="7"/>
      <c r="M322" s="7"/>
      <c r="N322" s="7"/>
      <c r="O322" s="7" t="s">
        <v>1045</v>
      </c>
      <c r="P322" s="7"/>
      <c r="Q322" s="7"/>
      <c r="R322" s="7"/>
      <c r="S322" s="7"/>
    </row>
    <row r="323" spans="1:19" x14ac:dyDescent="0.2">
      <c r="A323" s="7" t="s">
        <v>28</v>
      </c>
      <c r="B323" s="7" t="s">
        <v>1060</v>
      </c>
      <c r="C323" s="7" t="s">
        <v>2043</v>
      </c>
      <c r="D323" s="24"/>
      <c r="E323" s="7" t="s">
        <v>2044</v>
      </c>
      <c r="G323" s="7" t="s">
        <v>2045</v>
      </c>
      <c r="I323" s="7"/>
      <c r="J323" s="7" t="s">
        <v>630</v>
      </c>
      <c r="K323" s="7" t="s">
        <v>17</v>
      </c>
      <c r="L323" s="7"/>
      <c r="M323" s="7"/>
      <c r="N323" s="7"/>
      <c r="O323" s="7" t="s">
        <v>1047</v>
      </c>
      <c r="P323" s="7"/>
      <c r="Q323" s="7"/>
      <c r="R323" s="7"/>
      <c r="S323" s="7"/>
    </row>
    <row r="324" spans="1:19" x14ac:dyDescent="0.2">
      <c r="A324" s="7" t="s">
        <v>28</v>
      </c>
      <c r="B324" s="7" t="s">
        <v>1061</v>
      </c>
      <c r="C324" s="7" t="s">
        <v>2046</v>
      </c>
      <c r="D324" s="24"/>
      <c r="E324" s="7" t="s">
        <v>2047</v>
      </c>
      <c r="G324" s="7" t="s">
        <v>2048</v>
      </c>
      <c r="I324" s="7"/>
      <c r="J324" s="7" t="s">
        <v>630</v>
      </c>
      <c r="K324" s="7" t="s">
        <v>17</v>
      </c>
      <c r="L324" s="7"/>
      <c r="M324" s="7"/>
      <c r="N324" s="7"/>
      <c r="O324" s="7" t="s">
        <v>1047</v>
      </c>
      <c r="P324" s="7"/>
      <c r="Q324" s="7"/>
      <c r="R324" s="7"/>
      <c r="S324" s="7"/>
    </row>
    <row r="325" spans="1:19" x14ac:dyDescent="0.2">
      <c r="A325" s="7" t="s">
        <v>1886</v>
      </c>
      <c r="B325" s="7" t="s">
        <v>1062</v>
      </c>
      <c r="C325" s="7" t="s">
        <v>2049</v>
      </c>
      <c r="D325" s="24"/>
      <c r="E325" s="7" t="s">
        <v>2050</v>
      </c>
      <c r="G325" s="7" t="s">
        <v>2051</v>
      </c>
      <c r="I325" s="7"/>
      <c r="J325" s="7"/>
      <c r="K325" s="7" t="s">
        <v>17</v>
      </c>
      <c r="L325" s="7"/>
      <c r="M325" s="7"/>
      <c r="N325" s="7"/>
      <c r="O325" s="7"/>
      <c r="P325" s="7"/>
      <c r="Q325" s="7"/>
      <c r="R325" s="7"/>
      <c r="S325" s="7"/>
    </row>
    <row r="326" spans="1:19" x14ac:dyDescent="0.2">
      <c r="A326" s="7" t="s">
        <v>1886</v>
      </c>
      <c r="B326" s="7" t="s">
        <v>1063</v>
      </c>
      <c r="C326" s="7" t="s">
        <v>2052</v>
      </c>
      <c r="D326" s="24"/>
      <c r="E326" s="7" t="s">
        <v>2053</v>
      </c>
      <c r="G326" s="7" t="s">
        <v>2054</v>
      </c>
      <c r="I326" s="7"/>
      <c r="J326" s="7"/>
      <c r="K326" s="7" t="s">
        <v>17</v>
      </c>
      <c r="L326" s="7"/>
      <c r="M326" s="7"/>
      <c r="N326" s="7"/>
      <c r="O326" s="7" t="s">
        <v>1048</v>
      </c>
      <c r="P326" s="7"/>
      <c r="Q326" s="7"/>
      <c r="R326" s="7"/>
      <c r="S326" s="7"/>
    </row>
    <row r="327" spans="1:19" x14ac:dyDescent="0.2">
      <c r="A327" s="7" t="s">
        <v>28</v>
      </c>
      <c r="B327" s="7" t="s">
        <v>1064</v>
      </c>
      <c r="C327" s="7" t="s">
        <v>2055</v>
      </c>
      <c r="D327" s="24"/>
      <c r="E327" s="7" t="s">
        <v>2056</v>
      </c>
      <c r="G327" s="7" t="s">
        <v>2057</v>
      </c>
      <c r="I327" s="7"/>
      <c r="J327" s="7" t="s">
        <v>3102</v>
      </c>
      <c r="K327" s="7" t="s">
        <v>17</v>
      </c>
      <c r="L327" s="7"/>
      <c r="M327" s="7"/>
      <c r="N327" s="7"/>
      <c r="O327" s="7" t="s">
        <v>1049</v>
      </c>
      <c r="P327" s="7"/>
      <c r="Q327" s="7"/>
      <c r="R327" s="7"/>
      <c r="S327" s="7"/>
    </row>
    <row r="328" spans="1:19" x14ac:dyDescent="0.2">
      <c r="A328" s="7" t="s">
        <v>1886</v>
      </c>
      <c r="B328" s="7" t="s">
        <v>1065</v>
      </c>
      <c r="C328" s="7" t="s">
        <v>3737</v>
      </c>
      <c r="D328" s="24"/>
      <c r="E328" s="7" t="s">
        <v>3738</v>
      </c>
      <c r="G328" s="7" t="s">
        <v>3739</v>
      </c>
      <c r="I328" s="7"/>
      <c r="J328" s="7"/>
      <c r="K328" s="7" t="s">
        <v>17</v>
      </c>
      <c r="L328" s="7"/>
      <c r="M328" s="7"/>
      <c r="N328" s="7"/>
      <c r="O328" s="7"/>
      <c r="P328" s="7"/>
      <c r="Q328" s="7"/>
      <c r="R328" s="7"/>
      <c r="S328" s="7"/>
    </row>
    <row r="329" spans="1:19" x14ac:dyDescent="0.2">
      <c r="A329" s="45" t="s">
        <v>2058</v>
      </c>
      <c r="B329" s="45" t="s">
        <v>2062</v>
      </c>
      <c r="C329" s="45" t="s">
        <v>2059</v>
      </c>
      <c r="D329" s="48"/>
      <c r="E329" s="45" t="s">
        <v>2060</v>
      </c>
      <c r="F329" s="48"/>
      <c r="G329" s="45" t="s">
        <v>2061</v>
      </c>
      <c r="H329" s="48"/>
      <c r="I329" s="45"/>
      <c r="J329" s="45"/>
      <c r="K329" s="45" t="s">
        <v>17</v>
      </c>
      <c r="L329" s="45"/>
      <c r="M329" s="45"/>
      <c r="N329" s="45"/>
      <c r="O329" s="45" t="s">
        <v>1050</v>
      </c>
      <c r="P329" s="45"/>
      <c r="Q329" s="45"/>
      <c r="R329" s="45"/>
      <c r="S329" s="45"/>
    </row>
    <row r="330" spans="1:19" ht="22.5" customHeight="1" x14ac:dyDescent="0.2">
      <c r="A330" s="7" t="s">
        <v>26</v>
      </c>
      <c r="B330" s="7" t="s">
        <v>1066</v>
      </c>
      <c r="C330" s="7" t="s">
        <v>2064</v>
      </c>
      <c r="D330" s="24"/>
      <c r="E330" s="7" t="s">
        <v>2065</v>
      </c>
      <c r="G330" s="7" t="s">
        <v>2066</v>
      </c>
      <c r="I330" s="7"/>
      <c r="J330" s="7"/>
      <c r="K330" s="7" t="s">
        <v>17</v>
      </c>
      <c r="L330" s="7"/>
      <c r="M330" s="7"/>
      <c r="N330" s="7"/>
      <c r="O330" s="7" t="s">
        <v>1050</v>
      </c>
      <c r="P330" s="7"/>
      <c r="Q330" s="7"/>
      <c r="R330" s="7"/>
      <c r="S330" s="7"/>
    </row>
    <row r="331" spans="1:19" s="158" customFormat="1" ht="22.5" customHeight="1" x14ac:dyDescent="0.2">
      <c r="A331" s="155" t="s">
        <v>5440</v>
      </c>
      <c r="B331" s="155" t="s">
        <v>5439</v>
      </c>
      <c r="C331" s="155" t="s">
        <v>5436</v>
      </c>
      <c r="D331" s="159"/>
      <c r="E331" s="155" t="s">
        <v>5437</v>
      </c>
      <c r="F331" s="159"/>
      <c r="G331" s="155" t="s">
        <v>5438</v>
      </c>
      <c r="H331" s="159"/>
      <c r="I331" s="155"/>
      <c r="J331" s="155"/>
      <c r="K331" s="155" t="s">
        <v>17</v>
      </c>
      <c r="L331" s="155"/>
      <c r="M331" s="155"/>
      <c r="N331" s="155"/>
      <c r="O331" s="155" t="s">
        <v>4342</v>
      </c>
      <c r="P331" s="155"/>
      <c r="Q331" s="155"/>
      <c r="R331" s="155"/>
      <c r="S331" s="155"/>
    </row>
    <row r="332" spans="1:19" s="158" customFormat="1" outlineLevel="1" x14ac:dyDescent="0.2">
      <c r="A332" s="155" t="s">
        <v>26</v>
      </c>
      <c r="B332" s="167" t="str">
        <f>B331&amp;"x"</f>
        <v>sh23x</v>
      </c>
      <c r="C332" s="155" t="s">
        <v>320</v>
      </c>
      <c r="D332" s="159"/>
      <c r="E332" s="155" t="s">
        <v>61</v>
      </c>
      <c r="F332" s="159"/>
      <c r="G332" s="155" t="s">
        <v>1012</v>
      </c>
      <c r="H332" s="159"/>
      <c r="I332" s="157"/>
      <c r="J332" s="155"/>
      <c r="K332" s="155" t="s">
        <v>17</v>
      </c>
      <c r="L332" s="155"/>
      <c r="M332" s="155"/>
      <c r="N332" s="155"/>
      <c r="O332" s="167" t="s">
        <v>5441</v>
      </c>
      <c r="P332" s="155"/>
      <c r="Q332" s="155"/>
      <c r="R332" s="155"/>
      <c r="S332" s="155"/>
    </row>
    <row r="333" spans="1:19" s="158" customFormat="1" ht="22.5" customHeight="1" x14ac:dyDescent="0.2">
      <c r="A333" s="155" t="s">
        <v>1886</v>
      </c>
      <c r="B333" s="155" t="s">
        <v>5662</v>
      </c>
      <c r="C333" s="155" t="s">
        <v>5659</v>
      </c>
      <c r="D333" s="159"/>
      <c r="E333" s="155" t="s">
        <v>5660</v>
      </c>
      <c r="F333" s="159"/>
      <c r="G333" s="155" t="s">
        <v>5661</v>
      </c>
      <c r="H333" s="159"/>
      <c r="I333" s="155"/>
      <c r="J333" s="155"/>
      <c r="K333" s="155" t="s">
        <v>17</v>
      </c>
      <c r="L333" s="155"/>
      <c r="M333" s="155"/>
      <c r="N333" s="155"/>
      <c r="O333" s="155" t="s">
        <v>4342</v>
      </c>
      <c r="P333" s="155"/>
      <c r="Q333" s="155"/>
      <c r="R333" s="155"/>
      <c r="S333" s="155"/>
    </row>
    <row r="334" spans="1:19" s="158" customFormat="1" ht="22.5" customHeight="1" x14ac:dyDescent="0.2">
      <c r="A334" s="155" t="s">
        <v>5440</v>
      </c>
      <c r="B334" s="155" t="s">
        <v>5663</v>
      </c>
      <c r="C334" s="155" t="s">
        <v>5664</v>
      </c>
      <c r="D334" s="159" t="s">
        <v>5457</v>
      </c>
      <c r="E334" s="155" t="s">
        <v>5665</v>
      </c>
      <c r="F334" s="159" t="s">
        <v>5159</v>
      </c>
      <c r="G334" s="155" t="s">
        <v>5666</v>
      </c>
      <c r="H334" s="159" t="s">
        <v>5161</v>
      </c>
      <c r="I334" s="155"/>
      <c r="J334" s="155"/>
      <c r="K334" s="155" t="s">
        <v>17</v>
      </c>
      <c r="L334" s="155"/>
      <c r="M334" s="155"/>
      <c r="N334" s="155"/>
      <c r="O334" s="155" t="s">
        <v>5745</v>
      </c>
      <c r="P334" s="155"/>
      <c r="Q334" s="155"/>
      <c r="R334" s="155"/>
      <c r="S334" s="155"/>
    </row>
    <row r="335" spans="1:19" s="158" customFormat="1" outlineLevel="1" x14ac:dyDescent="0.2">
      <c r="A335" s="155" t="s">
        <v>26</v>
      </c>
      <c r="B335" s="167" t="str">
        <f>B334&amp;"x"</f>
        <v>sh24ax</v>
      </c>
      <c r="C335" s="155" t="s">
        <v>320</v>
      </c>
      <c r="D335" s="159"/>
      <c r="E335" s="155" t="s">
        <v>61</v>
      </c>
      <c r="F335" s="159"/>
      <c r="G335" s="155" t="s">
        <v>1012</v>
      </c>
      <c r="H335" s="159"/>
      <c r="I335" s="157"/>
      <c r="J335" s="155"/>
      <c r="K335" s="155" t="s">
        <v>17</v>
      </c>
      <c r="L335" s="155"/>
      <c r="M335" s="155"/>
      <c r="N335" s="155"/>
      <c r="O335" s="167" t="s">
        <v>5667</v>
      </c>
      <c r="P335" s="155"/>
      <c r="Q335" s="155"/>
      <c r="R335" s="155"/>
      <c r="S335" s="155"/>
    </row>
    <row r="336" spans="1:19" outlineLevel="1" x14ac:dyDescent="0.2">
      <c r="A336" s="7"/>
      <c r="B336" s="37"/>
      <c r="C336" s="7"/>
      <c r="D336" s="24"/>
      <c r="I336" s="63"/>
      <c r="J336" s="7"/>
      <c r="K336" s="7"/>
      <c r="L336" s="7"/>
      <c r="M336" s="7"/>
      <c r="N336" s="7"/>
      <c r="O336" s="37"/>
      <c r="P336" s="7"/>
      <c r="Q336" s="7"/>
      <c r="R336" s="7"/>
      <c r="S336" s="7"/>
    </row>
    <row r="337" spans="1:19" outlineLevel="1" x14ac:dyDescent="0.2">
      <c r="A337" s="7"/>
      <c r="B337" s="37"/>
      <c r="C337" s="7"/>
      <c r="D337" s="24"/>
      <c r="I337" s="63"/>
      <c r="J337" s="7"/>
      <c r="K337" s="7"/>
      <c r="L337" s="7"/>
      <c r="M337" s="7"/>
      <c r="N337" s="7"/>
      <c r="O337" s="37"/>
      <c r="P337" s="7"/>
      <c r="Q337" s="7"/>
      <c r="R337" s="7"/>
      <c r="S337" s="7"/>
    </row>
    <row r="338" spans="1:19" ht="18.75" x14ac:dyDescent="0.2">
      <c r="A338" s="65" t="s">
        <v>48</v>
      </c>
      <c r="B338" s="65" t="s">
        <v>2806</v>
      </c>
      <c r="C338" s="35"/>
      <c r="D338" s="83"/>
      <c r="E338" s="65"/>
      <c r="F338" s="64"/>
      <c r="G338" s="65"/>
      <c r="H338" s="64"/>
      <c r="I338" s="35"/>
      <c r="J338" s="35"/>
      <c r="K338" s="35"/>
      <c r="L338" s="35"/>
      <c r="M338" s="35"/>
      <c r="N338" s="35"/>
      <c r="O338" s="35"/>
      <c r="P338" s="35"/>
      <c r="Q338" s="35"/>
      <c r="R338" s="35"/>
      <c r="S338" s="35"/>
    </row>
    <row r="339" spans="1:19" x14ac:dyDescent="0.2">
      <c r="A339" s="7" t="s">
        <v>1902</v>
      </c>
      <c r="B339" s="7" t="s">
        <v>2807</v>
      </c>
      <c r="C339" s="7" t="s">
        <v>762</v>
      </c>
      <c r="D339" s="24" t="s">
        <v>756</v>
      </c>
      <c r="E339" s="7" t="s">
        <v>1094</v>
      </c>
      <c r="F339" s="24" t="s">
        <v>2186</v>
      </c>
      <c r="G339" s="7" t="s">
        <v>3015</v>
      </c>
      <c r="H339" s="24" t="s">
        <v>3016</v>
      </c>
      <c r="J339" s="8" t="s">
        <v>806</v>
      </c>
      <c r="K339" s="7" t="s">
        <v>17</v>
      </c>
      <c r="O339" s="7" t="s">
        <v>29</v>
      </c>
    </row>
    <row r="340" spans="1:19" x14ac:dyDescent="0.2">
      <c r="A340" s="25" t="s">
        <v>21</v>
      </c>
      <c r="B340" s="25" t="s">
        <v>339</v>
      </c>
      <c r="C340" s="25"/>
      <c r="D340" s="26"/>
      <c r="E340" s="25"/>
      <c r="F340" s="26"/>
      <c r="G340" s="25"/>
      <c r="H340" s="26"/>
      <c r="I340" s="25"/>
      <c r="J340" s="25"/>
      <c r="K340" s="25"/>
      <c r="L340" s="25"/>
      <c r="M340" s="25" t="s">
        <v>2808</v>
      </c>
      <c r="N340" s="25"/>
      <c r="O340" s="25"/>
      <c r="P340" s="25"/>
      <c r="Q340" s="25"/>
      <c r="R340" s="25"/>
      <c r="S340" s="25"/>
    </row>
    <row r="341" spans="1:19" x14ac:dyDescent="0.2">
      <c r="A341" s="7"/>
      <c r="B341" s="7"/>
      <c r="C341" s="7"/>
      <c r="D341" s="24"/>
      <c r="I341" s="7"/>
      <c r="J341" s="7"/>
      <c r="K341" s="7"/>
    </row>
    <row r="342" spans="1:19" s="105" customFormat="1" ht="18.75" x14ac:dyDescent="0.25">
      <c r="A342" s="65" t="s">
        <v>16</v>
      </c>
      <c r="B342" s="65" t="s">
        <v>2067</v>
      </c>
      <c r="C342" s="65" t="s">
        <v>2070</v>
      </c>
      <c r="D342" s="64"/>
      <c r="E342" s="65" t="s">
        <v>2071</v>
      </c>
      <c r="F342" s="64"/>
      <c r="G342" s="65" t="s">
        <v>1095</v>
      </c>
      <c r="H342" s="64"/>
      <c r="I342" s="65"/>
      <c r="J342" s="35"/>
      <c r="K342" s="35"/>
      <c r="L342" s="35"/>
      <c r="M342" s="35"/>
      <c r="N342" s="35"/>
      <c r="O342" s="35" t="s">
        <v>29</v>
      </c>
      <c r="P342" s="35"/>
      <c r="Q342" s="35"/>
      <c r="R342" s="35"/>
      <c r="S342" s="35"/>
    </row>
    <row r="343" spans="1:19" x14ac:dyDescent="0.2">
      <c r="A343" s="7" t="s">
        <v>2074</v>
      </c>
      <c r="B343" s="7" t="s">
        <v>1109</v>
      </c>
      <c r="C343" s="7" t="s">
        <v>2072</v>
      </c>
      <c r="D343" s="24"/>
      <c r="E343" s="7" t="s">
        <v>2073</v>
      </c>
      <c r="G343" s="7" t="s">
        <v>3017</v>
      </c>
      <c r="I343" s="7"/>
      <c r="J343" s="7"/>
      <c r="K343" s="7" t="s">
        <v>17</v>
      </c>
      <c r="L343" s="7"/>
      <c r="M343" s="7"/>
      <c r="N343" s="7"/>
      <c r="O343" s="7"/>
      <c r="P343" s="7"/>
      <c r="Q343" s="7"/>
      <c r="R343" s="7"/>
      <c r="S343" s="7"/>
    </row>
    <row r="344" spans="1:19" x14ac:dyDescent="0.2">
      <c r="A344" s="7" t="s">
        <v>2074</v>
      </c>
      <c r="B344" s="7" t="s">
        <v>1110</v>
      </c>
      <c r="C344" s="7" t="s">
        <v>2076</v>
      </c>
      <c r="D344" s="24"/>
      <c r="E344" s="7" t="s">
        <v>2077</v>
      </c>
      <c r="G344" s="7" t="s">
        <v>2078</v>
      </c>
      <c r="I344" s="7"/>
      <c r="J344" s="7"/>
      <c r="K344" s="7" t="s">
        <v>17</v>
      </c>
      <c r="L344" s="7"/>
      <c r="M344" s="7"/>
      <c r="N344" s="7"/>
      <c r="O344" s="7"/>
      <c r="P344" s="7"/>
      <c r="Q344" s="7"/>
      <c r="R344" s="7"/>
      <c r="S344" s="7"/>
    </row>
    <row r="345" spans="1:19" x14ac:dyDescent="0.2">
      <c r="A345" s="7" t="s">
        <v>2084</v>
      </c>
      <c r="B345" s="7" t="s">
        <v>1111</v>
      </c>
      <c r="C345" s="7" t="s">
        <v>2079</v>
      </c>
      <c r="D345" s="24"/>
      <c r="E345" s="7" t="s">
        <v>2080</v>
      </c>
      <c r="G345" s="7" t="s">
        <v>2081</v>
      </c>
      <c r="I345" s="7"/>
      <c r="J345" s="7"/>
      <c r="K345" s="7" t="s">
        <v>17</v>
      </c>
      <c r="L345" s="7"/>
      <c r="M345" s="7"/>
      <c r="N345" s="7"/>
      <c r="O345" s="7"/>
      <c r="P345" s="7"/>
      <c r="Q345" s="7"/>
      <c r="R345" s="7"/>
      <c r="S345" s="7"/>
    </row>
    <row r="346" spans="1:19" ht="48" customHeight="1" x14ac:dyDescent="0.2">
      <c r="A346" s="7" t="s">
        <v>2084</v>
      </c>
      <c r="B346" s="7" t="s">
        <v>1112</v>
      </c>
      <c r="C346" s="7" t="s">
        <v>2085</v>
      </c>
      <c r="D346" s="24"/>
      <c r="E346" s="7" t="s">
        <v>2086</v>
      </c>
      <c r="G346" s="7" t="s">
        <v>2087</v>
      </c>
      <c r="I346" s="7"/>
      <c r="J346" s="7"/>
      <c r="K346" s="7" t="s">
        <v>17</v>
      </c>
      <c r="L346" s="7"/>
      <c r="M346" s="7"/>
      <c r="N346" s="7"/>
      <c r="O346" s="7"/>
      <c r="P346" s="7"/>
      <c r="Q346" s="7"/>
      <c r="R346" s="7"/>
      <c r="S346" s="7"/>
    </row>
    <row r="347" spans="1:19" x14ac:dyDescent="0.2">
      <c r="A347" s="7" t="s">
        <v>1886</v>
      </c>
      <c r="B347" s="7" t="s">
        <v>1113</v>
      </c>
      <c r="C347" s="7" t="s">
        <v>2088</v>
      </c>
      <c r="D347" s="24"/>
      <c r="E347" s="7" t="s">
        <v>2089</v>
      </c>
      <c r="G347" s="7" t="s">
        <v>2090</v>
      </c>
      <c r="I347" s="7"/>
      <c r="J347" s="7"/>
      <c r="K347" s="7" t="s">
        <v>17</v>
      </c>
      <c r="L347" s="7"/>
      <c r="M347" s="7"/>
      <c r="N347" s="7"/>
      <c r="O347" s="7"/>
      <c r="P347" s="7"/>
      <c r="Q347" s="7"/>
      <c r="R347" s="7"/>
      <c r="S347" s="7"/>
    </row>
    <row r="348" spans="1:19" ht="60.75" customHeight="1" x14ac:dyDescent="0.2">
      <c r="A348" s="7" t="s">
        <v>2094</v>
      </c>
      <c r="B348" s="7" t="s">
        <v>1114</v>
      </c>
      <c r="C348" s="7" t="s">
        <v>2091</v>
      </c>
      <c r="D348" s="24"/>
      <c r="E348" s="7" t="s">
        <v>2092</v>
      </c>
      <c r="G348" s="7" t="s">
        <v>2093</v>
      </c>
      <c r="I348" s="7"/>
      <c r="J348" s="7"/>
      <c r="K348" s="7" t="s">
        <v>17</v>
      </c>
      <c r="L348" s="7"/>
      <c r="M348" s="7"/>
      <c r="N348" s="7"/>
      <c r="O348" s="7"/>
      <c r="P348" s="7"/>
      <c r="Q348" s="7"/>
      <c r="R348" s="7"/>
      <c r="S348" s="7"/>
    </row>
    <row r="349" spans="1:19" ht="60.75" customHeight="1" x14ac:dyDescent="0.2">
      <c r="A349" s="7" t="s">
        <v>5718</v>
      </c>
      <c r="B349" s="7" t="s">
        <v>5460</v>
      </c>
      <c r="C349" s="7" t="s">
        <v>5456</v>
      </c>
      <c r="D349" s="24" t="s">
        <v>5457</v>
      </c>
      <c r="E349" s="7" t="s">
        <v>5458</v>
      </c>
      <c r="F349" s="24" t="s">
        <v>5159</v>
      </c>
      <c r="G349" s="7" t="s">
        <v>5459</v>
      </c>
      <c r="H349" s="24" t="s">
        <v>5161</v>
      </c>
      <c r="I349" s="7"/>
      <c r="J349" s="7"/>
      <c r="K349" s="7" t="s">
        <v>17</v>
      </c>
      <c r="L349" s="7"/>
      <c r="M349" s="7"/>
      <c r="N349" s="7"/>
      <c r="O349" s="7" t="str">
        <f>"${"&amp;B348&amp;"}=1"</f>
        <v>${wb6}=1</v>
      </c>
      <c r="P349" s="7"/>
      <c r="Q349" s="7"/>
      <c r="R349" s="7"/>
      <c r="S349" s="7"/>
    </row>
    <row r="350" spans="1:19" outlineLevel="1" x14ac:dyDescent="0.2">
      <c r="A350" s="7" t="s">
        <v>26</v>
      </c>
      <c r="B350" s="7" t="str">
        <f>B349&amp;"x"</f>
        <v>wb6ax</v>
      </c>
      <c r="C350" s="7" t="s">
        <v>320</v>
      </c>
      <c r="D350" s="24"/>
      <c r="E350" s="7" t="s">
        <v>61</v>
      </c>
      <c r="G350" s="7" t="s">
        <v>1219</v>
      </c>
      <c r="I350" s="63"/>
      <c r="J350" s="7"/>
      <c r="K350" s="7" t="s">
        <v>17</v>
      </c>
      <c r="O350" s="7" t="s">
        <v>5719</v>
      </c>
    </row>
    <row r="351" spans="1:19" outlineLevel="1" x14ac:dyDescent="0.2">
      <c r="A351" s="7" t="s">
        <v>5481</v>
      </c>
      <c r="B351" s="7" t="s">
        <v>5479</v>
      </c>
      <c r="C351" s="7" t="s">
        <v>5473</v>
      </c>
      <c r="D351" s="24" t="s">
        <v>5474</v>
      </c>
      <c r="E351" s="7" t="s">
        <v>5475</v>
      </c>
      <c r="F351" s="24" t="s">
        <v>5476</v>
      </c>
      <c r="G351" s="7" t="s">
        <v>5477</v>
      </c>
      <c r="H351" s="24" t="s">
        <v>5478</v>
      </c>
      <c r="I351" s="63"/>
      <c r="J351" s="45" t="s">
        <v>5480</v>
      </c>
      <c r="K351" s="7" t="s">
        <v>17</v>
      </c>
      <c r="O351" s="7" t="str">
        <f>"${"&amp;B348&amp;"}=1"</f>
        <v>${wb6}=1</v>
      </c>
    </row>
    <row r="352" spans="1:19" outlineLevel="1" x14ac:dyDescent="0.2">
      <c r="A352" s="7" t="s">
        <v>26</v>
      </c>
      <c r="B352" s="7" t="str">
        <f>B351&amp;"x"</f>
        <v>wb6bx</v>
      </c>
      <c r="C352" s="7" t="s">
        <v>320</v>
      </c>
      <c r="D352" s="24"/>
      <c r="E352" s="7" t="s">
        <v>61</v>
      </c>
      <c r="G352" s="7" t="s">
        <v>1219</v>
      </c>
      <c r="I352" s="63"/>
      <c r="J352" s="7"/>
      <c r="K352" s="7" t="s">
        <v>17</v>
      </c>
      <c r="O352" s="7" t="s">
        <v>5658</v>
      </c>
    </row>
    <row r="353" spans="1:19" outlineLevel="1" x14ac:dyDescent="0.2">
      <c r="A353" s="7"/>
      <c r="B353" s="7"/>
      <c r="C353" s="7"/>
      <c r="D353" s="24"/>
      <c r="I353" s="63"/>
      <c r="J353" s="7"/>
      <c r="K353" s="7"/>
      <c r="O353" s="7"/>
    </row>
    <row r="354" spans="1:19" x14ac:dyDescent="0.2">
      <c r="A354" s="7" t="s">
        <v>1886</v>
      </c>
      <c r="B354" s="7" t="s">
        <v>1115</v>
      </c>
      <c r="C354" s="7" t="s">
        <v>2096</v>
      </c>
      <c r="D354" s="24"/>
      <c r="E354" s="7" t="s">
        <v>2097</v>
      </c>
      <c r="G354" s="7" t="s">
        <v>3018</v>
      </c>
      <c r="I354" s="7"/>
      <c r="J354" s="7"/>
      <c r="K354" s="7" t="s">
        <v>17</v>
      </c>
      <c r="L354" s="7"/>
      <c r="M354" s="7"/>
      <c r="N354" s="7"/>
      <c r="O354" s="7"/>
      <c r="P354" s="7"/>
      <c r="Q354" s="7"/>
      <c r="R354" s="7"/>
      <c r="S354" s="7"/>
    </row>
    <row r="355" spans="1:19" x14ac:dyDescent="0.2">
      <c r="A355" s="7" t="s">
        <v>2098</v>
      </c>
      <c r="B355" s="7" t="s">
        <v>1116</v>
      </c>
      <c r="C355" s="7" t="s">
        <v>2099</v>
      </c>
      <c r="D355" s="24"/>
      <c r="E355" s="7" t="s">
        <v>2100</v>
      </c>
      <c r="G355" s="7" t="s">
        <v>2101</v>
      </c>
      <c r="I355" s="7"/>
      <c r="J355" s="7"/>
      <c r="K355" s="7" t="s">
        <v>17</v>
      </c>
      <c r="L355" s="7"/>
      <c r="M355" s="7"/>
      <c r="N355" s="7"/>
      <c r="O355" s="7"/>
      <c r="P355" s="7"/>
      <c r="Q355" s="7"/>
      <c r="R355" s="7"/>
      <c r="S355" s="7"/>
    </row>
    <row r="356" spans="1:19" x14ac:dyDescent="0.2">
      <c r="A356" s="7" t="s">
        <v>1886</v>
      </c>
      <c r="B356" s="7" t="s">
        <v>1117</v>
      </c>
      <c r="C356" s="7" t="s">
        <v>2103</v>
      </c>
      <c r="D356" s="24"/>
      <c r="E356" s="7" t="s">
        <v>2104</v>
      </c>
      <c r="G356" s="7" t="s">
        <v>2105</v>
      </c>
      <c r="I356" s="7"/>
      <c r="J356" s="7"/>
      <c r="K356" s="7" t="s">
        <v>17</v>
      </c>
      <c r="L356" s="7"/>
      <c r="M356" s="7"/>
      <c r="N356" s="7"/>
      <c r="O356" s="7"/>
      <c r="P356" s="7"/>
      <c r="Q356" s="7"/>
      <c r="R356" s="7"/>
      <c r="S356" s="7"/>
    </row>
    <row r="357" spans="1:19" x14ac:dyDescent="0.2">
      <c r="A357" s="7" t="s">
        <v>1886</v>
      </c>
      <c r="B357" s="7" t="s">
        <v>1118</v>
      </c>
      <c r="C357" s="7" t="s">
        <v>2106</v>
      </c>
      <c r="D357" s="24"/>
      <c r="E357" s="7" t="s">
        <v>3019</v>
      </c>
      <c r="G357" s="7" t="s">
        <v>3254</v>
      </c>
      <c r="I357" s="7"/>
      <c r="J357" s="7"/>
      <c r="K357" s="7" t="s">
        <v>17</v>
      </c>
      <c r="L357" s="7"/>
      <c r="M357" s="7"/>
      <c r="N357" s="7"/>
      <c r="O357" s="7"/>
      <c r="P357" s="7"/>
      <c r="Q357" s="7"/>
      <c r="R357" s="7"/>
      <c r="S357" s="7"/>
    </row>
    <row r="358" spans="1:19" x14ac:dyDescent="0.2">
      <c r="A358" s="7" t="s">
        <v>1886</v>
      </c>
      <c r="B358" s="7" t="s">
        <v>1119</v>
      </c>
      <c r="C358" s="7" t="s">
        <v>2107</v>
      </c>
      <c r="D358" s="24"/>
      <c r="E358" s="7" t="s">
        <v>2108</v>
      </c>
      <c r="G358" s="7" t="s">
        <v>2109</v>
      </c>
      <c r="I358" s="7"/>
      <c r="J358" s="7"/>
      <c r="K358" s="7" t="s">
        <v>17</v>
      </c>
      <c r="L358" s="7"/>
      <c r="M358" s="7"/>
      <c r="N358" s="7"/>
      <c r="O358" s="7"/>
      <c r="P358" s="7"/>
      <c r="Q358" s="7"/>
      <c r="R358" s="7"/>
      <c r="S358" s="7"/>
    </row>
    <row r="359" spans="1:19" x14ac:dyDescent="0.2">
      <c r="A359" s="7" t="s">
        <v>1886</v>
      </c>
      <c r="B359" s="7" t="s">
        <v>1120</v>
      </c>
      <c r="C359" s="7" t="s">
        <v>2110</v>
      </c>
      <c r="D359" s="24"/>
      <c r="E359" s="7" t="s">
        <v>2111</v>
      </c>
      <c r="G359" s="7" t="s">
        <v>2112</v>
      </c>
      <c r="I359" s="7"/>
      <c r="J359" s="7"/>
      <c r="K359" s="7" t="s">
        <v>17</v>
      </c>
      <c r="O359" s="7" t="s">
        <v>1107</v>
      </c>
    </row>
    <row r="360" spans="1:19" x14ac:dyDescent="0.2">
      <c r="A360" s="7" t="s">
        <v>1886</v>
      </c>
      <c r="B360" s="7" t="s">
        <v>1121</v>
      </c>
      <c r="C360" s="7" t="s">
        <v>2113</v>
      </c>
      <c r="D360" s="24"/>
      <c r="E360" s="7" t="s">
        <v>2114</v>
      </c>
      <c r="G360" s="7" t="s">
        <v>2115</v>
      </c>
      <c r="I360" s="7"/>
      <c r="J360" s="7"/>
      <c r="K360" s="7" t="s">
        <v>17</v>
      </c>
      <c r="L360" s="7"/>
      <c r="M360" s="7"/>
      <c r="N360" s="7"/>
      <c r="O360" s="7" t="s">
        <v>1107</v>
      </c>
      <c r="P360" s="7"/>
      <c r="Q360" s="7"/>
      <c r="R360" s="7"/>
      <c r="S360" s="7"/>
    </row>
    <row r="361" spans="1:19" x14ac:dyDescent="0.2">
      <c r="A361" s="7" t="s">
        <v>1886</v>
      </c>
      <c r="B361" s="7" t="s">
        <v>1122</v>
      </c>
      <c r="C361" s="7" t="s">
        <v>2116</v>
      </c>
      <c r="D361" s="24"/>
      <c r="E361" s="7" t="s">
        <v>2117</v>
      </c>
      <c r="G361" s="7" t="s">
        <v>2118</v>
      </c>
      <c r="I361" s="7"/>
      <c r="J361" s="7"/>
      <c r="K361" s="7" t="s">
        <v>17</v>
      </c>
      <c r="L361" s="7"/>
      <c r="M361" s="7"/>
      <c r="N361" s="7"/>
      <c r="O361" s="13"/>
      <c r="P361" s="7"/>
      <c r="Q361" s="7"/>
      <c r="R361" s="7"/>
      <c r="S361" s="7"/>
    </row>
    <row r="362" spans="1:19" x14ac:dyDescent="0.2">
      <c r="A362" s="7" t="s">
        <v>2123</v>
      </c>
      <c r="B362" s="7" t="s">
        <v>1123</v>
      </c>
      <c r="C362" s="7" t="s">
        <v>2119</v>
      </c>
      <c r="D362" s="24"/>
      <c r="E362" s="7" t="s">
        <v>2120</v>
      </c>
      <c r="G362" s="7" t="s">
        <v>2121</v>
      </c>
      <c r="I362" s="7"/>
      <c r="J362" s="7"/>
      <c r="K362" s="7" t="s">
        <v>17</v>
      </c>
      <c r="L362" s="7"/>
      <c r="M362" s="7"/>
      <c r="N362" s="7"/>
      <c r="O362" s="7"/>
      <c r="P362" s="7"/>
      <c r="Q362" s="7"/>
      <c r="R362" s="7"/>
      <c r="S362" s="7"/>
    </row>
    <row r="363" spans="1:19" x14ac:dyDescent="0.2">
      <c r="A363" s="45" t="s">
        <v>2130</v>
      </c>
      <c r="B363" s="45" t="s">
        <v>1879</v>
      </c>
      <c r="C363" s="45" t="s">
        <v>2124</v>
      </c>
      <c r="D363" s="48" t="s">
        <v>2125</v>
      </c>
      <c r="E363" s="45" t="s">
        <v>2126</v>
      </c>
      <c r="F363" s="48" t="s">
        <v>2127</v>
      </c>
      <c r="G363" s="45" t="s">
        <v>2128</v>
      </c>
      <c r="H363" s="48" t="s">
        <v>2129</v>
      </c>
      <c r="I363" s="45"/>
      <c r="J363" s="45" t="s">
        <v>54</v>
      </c>
      <c r="K363" s="45" t="s">
        <v>17</v>
      </c>
      <c r="L363" s="45"/>
      <c r="M363" s="45"/>
      <c r="N363" s="45"/>
      <c r="O363" s="45"/>
      <c r="P363" s="45"/>
      <c r="Q363" s="45"/>
      <c r="R363" s="45"/>
      <c r="S363" s="45"/>
    </row>
    <row r="364" spans="1:19" x14ac:dyDescent="0.2">
      <c r="A364" s="7" t="s">
        <v>567</v>
      </c>
      <c r="B364" s="7" t="s">
        <v>1124</v>
      </c>
      <c r="C364" s="7" t="s">
        <v>2133</v>
      </c>
      <c r="D364" s="24"/>
      <c r="E364" s="7" t="s">
        <v>2134</v>
      </c>
      <c r="G364" s="7" t="s">
        <v>2135</v>
      </c>
      <c r="I364" s="7"/>
      <c r="J364" s="7" t="s">
        <v>1379</v>
      </c>
      <c r="K364" s="7" t="s">
        <v>17</v>
      </c>
      <c r="L364" s="7"/>
      <c r="M364" s="7"/>
      <c r="N364" s="7"/>
      <c r="O364" s="7"/>
      <c r="P364" s="7"/>
      <c r="Q364" s="7"/>
      <c r="R364" s="7"/>
      <c r="S364" s="7"/>
    </row>
    <row r="365" spans="1:19" x14ac:dyDescent="0.2">
      <c r="A365" s="7" t="s">
        <v>28</v>
      </c>
      <c r="B365" s="7" t="s">
        <v>1125</v>
      </c>
      <c r="C365" s="7" t="s">
        <v>2136</v>
      </c>
      <c r="D365" s="24"/>
      <c r="E365" s="7" t="s">
        <v>2137</v>
      </c>
      <c r="G365" s="7" t="s">
        <v>2138</v>
      </c>
      <c r="I365" s="7"/>
      <c r="J365" s="7"/>
      <c r="K365" s="7" t="s">
        <v>17</v>
      </c>
      <c r="L365" s="7"/>
      <c r="M365" s="7"/>
      <c r="N365" s="7"/>
      <c r="O365" s="13" t="s">
        <v>1885</v>
      </c>
      <c r="Q365" s="7"/>
      <c r="R365" s="7"/>
      <c r="S365" s="7"/>
    </row>
    <row r="366" spans="1:19" x14ac:dyDescent="0.2">
      <c r="A366" s="7" t="s">
        <v>567</v>
      </c>
      <c r="B366" s="7" t="s">
        <v>1126</v>
      </c>
      <c r="C366" s="7" t="s">
        <v>2139</v>
      </c>
      <c r="D366" s="24"/>
      <c r="E366" s="7" t="s">
        <v>2140</v>
      </c>
      <c r="G366" s="7" t="s">
        <v>2141</v>
      </c>
      <c r="I366" s="7"/>
      <c r="J366" s="7" t="s">
        <v>3103</v>
      </c>
      <c r="K366" s="7" t="s">
        <v>17</v>
      </c>
      <c r="L366" s="7"/>
      <c r="M366" s="7"/>
      <c r="N366" s="7"/>
      <c r="O366" s="13"/>
      <c r="P366" s="7"/>
      <c r="Q366" s="7"/>
      <c r="R366" s="7"/>
      <c r="S366" s="7"/>
    </row>
    <row r="367" spans="1:19" x14ac:dyDescent="0.2">
      <c r="A367" s="7" t="s">
        <v>28</v>
      </c>
      <c r="B367" s="7" t="s">
        <v>1127</v>
      </c>
      <c r="C367" s="7" t="s">
        <v>2136</v>
      </c>
      <c r="D367" s="24"/>
      <c r="E367" s="7" t="s">
        <v>2142</v>
      </c>
      <c r="G367" s="7" t="s">
        <v>2143</v>
      </c>
      <c r="I367" s="7"/>
      <c r="J367" s="7"/>
      <c r="K367" s="7" t="s">
        <v>17</v>
      </c>
      <c r="L367" s="7"/>
      <c r="M367" s="7"/>
      <c r="N367" s="7"/>
      <c r="O367" s="13" t="s">
        <v>1884</v>
      </c>
      <c r="Q367" s="7"/>
      <c r="R367" s="7"/>
      <c r="S367" s="7"/>
    </row>
    <row r="368" spans="1:19" x14ac:dyDescent="0.2">
      <c r="A368" s="7" t="s">
        <v>1886</v>
      </c>
      <c r="B368" s="7" t="s">
        <v>1128</v>
      </c>
      <c r="C368" s="7" t="s">
        <v>2144</v>
      </c>
      <c r="D368" s="24"/>
      <c r="E368" s="7" t="s">
        <v>2145</v>
      </c>
      <c r="G368" s="7" t="s">
        <v>2146</v>
      </c>
      <c r="I368" s="7"/>
      <c r="J368" s="7"/>
      <c r="K368" s="7" t="s">
        <v>17</v>
      </c>
      <c r="L368" s="7"/>
      <c r="M368" s="7"/>
      <c r="N368" s="7"/>
      <c r="O368" s="7"/>
      <c r="P368" s="7"/>
      <c r="Q368" s="7"/>
      <c r="R368" s="7"/>
      <c r="S368" s="7"/>
    </row>
    <row r="369" spans="1:19" x14ac:dyDescent="0.2">
      <c r="A369" s="7" t="s">
        <v>567</v>
      </c>
      <c r="B369" s="7" t="s">
        <v>1129</v>
      </c>
      <c r="C369" s="7" t="s">
        <v>2147</v>
      </c>
      <c r="D369" s="24"/>
      <c r="E369" s="7" t="s">
        <v>2148</v>
      </c>
      <c r="G369" s="7" t="s">
        <v>2149</v>
      </c>
      <c r="I369" s="7"/>
      <c r="J369" s="7" t="s">
        <v>3103</v>
      </c>
      <c r="K369" s="7" t="s">
        <v>17</v>
      </c>
      <c r="L369" s="7"/>
      <c r="M369" s="7"/>
      <c r="N369" s="7"/>
      <c r="O369" s="7" t="s">
        <v>1108</v>
      </c>
      <c r="P369" s="7"/>
      <c r="Q369" s="7"/>
      <c r="R369" s="7"/>
      <c r="S369" s="7"/>
    </row>
    <row r="370" spans="1:19" x14ac:dyDescent="0.2">
      <c r="A370" s="7" t="s">
        <v>28</v>
      </c>
      <c r="B370" s="7" t="s">
        <v>1130</v>
      </c>
      <c r="C370" s="7" t="s">
        <v>2150</v>
      </c>
      <c r="D370" s="24"/>
      <c r="E370" s="7" t="s">
        <v>2151</v>
      </c>
      <c r="G370" s="7" t="s">
        <v>2152</v>
      </c>
      <c r="I370" s="7"/>
      <c r="J370" s="7" t="s">
        <v>3104</v>
      </c>
      <c r="K370" s="7" t="s">
        <v>17</v>
      </c>
      <c r="L370" s="7"/>
      <c r="M370" s="7"/>
      <c r="N370" s="7"/>
      <c r="O370" s="7" t="s">
        <v>1108</v>
      </c>
      <c r="Q370" s="7"/>
      <c r="R370" s="7"/>
      <c r="S370" s="7"/>
    </row>
    <row r="371" spans="1:19" x14ac:dyDescent="0.2">
      <c r="A371" s="7" t="s">
        <v>1886</v>
      </c>
      <c r="B371" s="7" t="s">
        <v>1096</v>
      </c>
      <c r="C371" s="7" t="s">
        <v>2153</v>
      </c>
      <c r="D371" s="24"/>
      <c r="E371" s="7" t="s">
        <v>2154</v>
      </c>
      <c r="G371" s="7" t="s">
        <v>2155</v>
      </c>
      <c r="I371" s="7"/>
      <c r="J371" s="7"/>
      <c r="K371" s="7" t="s">
        <v>17</v>
      </c>
      <c r="L371" s="7"/>
      <c r="M371" s="7"/>
      <c r="N371" s="7"/>
      <c r="O371" s="7"/>
      <c r="Q371" s="7"/>
      <c r="R371" s="7"/>
      <c r="S371" s="7"/>
    </row>
    <row r="372" spans="1:19" x14ac:dyDescent="0.2">
      <c r="A372" s="7" t="s">
        <v>1886</v>
      </c>
      <c r="B372" s="7" t="s">
        <v>1097</v>
      </c>
      <c r="C372" s="7" t="s">
        <v>2156</v>
      </c>
      <c r="D372" s="24"/>
      <c r="E372" s="7" t="s">
        <v>2157</v>
      </c>
      <c r="G372" s="7" t="s">
        <v>3020</v>
      </c>
      <c r="I372" s="7"/>
      <c r="J372" s="7"/>
      <c r="K372" s="7" t="s">
        <v>17</v>
      </c>
      <c r="L372" s="7"/>
      <c r="M372" s="7"/>
      <c r="N372" s="7"/>
      <c r="O372" s="7"/>
      <c r="Q372" s="7"/>
      <c r="R372" s="7"/>
      <c r="S372" s="7"/>
    </row>
    <row r="373" spans="1:19" x14ac:dyDescent="0.2">
      <c r="A373" s="7" t="s">
        <v>1886</v>
      </c>
      <c r="B373" s="7" t="s">
        <v>1098</v>
      </c>
      <c r="C373" s="7" t="s">
        <v>2158</v>
      </c>
      <c r="D373" s="24"/>
      <c r="E373" s="7" t="s">
        <v>2159</v>
      </c>
      <c r="G373" s="7" t="s">
        <v>2160</v>
      </c>
      <c r="I373" s="7"/>
      <c r="J373" s="7"/>
      <c r="K373" s="7" t="s">
        <v>17</v>
      </c>
      <c r="L373" s="7"/>
      <c r="M373" s="7"/>
      <c r="N373" s="7"/>
      <c r="O373" s="7"/>
      <c r="Q373" s="7"/>
      <c r="R373" s="7"/>
      <c r="S373" s="7"/>
    </row>
    <row r="374" spans="1:19" x14ac:dyDescent="0.2">
      <c r="A374" s="7" t="s">
        <v>1886</v>
      </c>
      <c r="B374" s="7" t="s">
        <v>1099</v>
      </c>
      <c r="C374" s="7" t="s">
        <v>2161</v>
      </c>
      <c r="D374" s="24"/>
      <c r="E374" s="7" t="s">
        <v>3022</v>
      </c>
      <c r="G374" s="7" t="s">
        <v>3021</v>
      </c>
      <c r="I374" s="7"/>
      <c r="J374" s="7"/>
      <c r="K374" s="7" t="s">
        <v>17</v>
      </c>
      <c r="L374" s="7"/>
      <c r="M374" s="7"/>
      <c r="N374" s="7"/>
      <c r="O374" s="7"/>
      <c r="Q374" s="7"/>
      <c r="R374" s="7"/>
      <c r="S374" s="7"/>
    </row>
    <row r="375" spans="1:19" x14ac:dyDescent="0.2">
      <c r="A375" s="7" t="s">
        <v>1886</v>
      </c>
      <c r="B375" s="7" t="s">
        <v>1100</v>
      </c>
      <c r="C375" s="7" t="s">
        <v>2162</v>
      </c>
      <c r="D375" s="24"/>
      <c r="E375" s="7" t="s">
        <v>2163</v>
      </c>
      <c r="G375" s="7" t="s">
        <v>2164</v>
      </c>
      <c r="I375" s="7"/>
      <c r="J375" s="7"/>
      <c r="K375" s="7" t="s">
        <v>17</v>
      </c>
      <c r="L375" s="7"/>
      <c r="M375" s="7"/>
      <c r="N375" s="7"/>
      <c r="O375" s="7"/>
      <c r="Q375" s="7"/>
      <c r="R375" s="7"/>
      <c r="S375" s="7"/>
    </row>
    <row r="376" spans="1:19" x14ac:dyDescent="0.2">
      <c r="A376" s="7" t="s">
        <v>1886</v>
      </c>
      <c r="B376" s="7" t="s">
        <v>1101</v>
      </c>
      <c r="C376" s="7" t="s">
        <v>2165</v>
      </c>
      <c r="D376" s="24"/>
      <c r="E376" s="7" t="s">
        <v>2166</v>
      </c>
      <c r="G376" s="7" t="s">
        <v>2167</v>
      </c>
      <c r="I376" s="7"/>
      <c r="J376" s="7"/>
      <c r="K376" s="7" t="s">
        <v>17</v>
      </c>
      <c r="L376" s="7"/>
      <c r="M376" s="7"/>
      <c r="N376" s="7"/>
      <c r="O376" s="7"/>
      <c r="Q376" s="7"/>
      <c r="R376" s="7"/>
      <c r="S376" s="7"/>
    </row>
    <row r="377" spans="1:19" x14ac:dyDescent="0.2">
      <c r="A377" s="7" t="s">
        <v>1886</v>
      </c>
      <c r="B377" s="7" t="s">
        <v>1102</v>
      </c>
      <c r="C377" s="7" t="s">
        <v>2168</v>
      </c>
      <c r="D377" s="24"/>
      <c r="E377" s="7" t="s">
        <v>2169</v>
      </c>
      <c r="G377" s="7" t="s">
        <v>2170</v>
      </c>
      <c r="I377" s="7"/>
      <c r="J377" s="7"/>
      <c r="K377" s="7" t="s">
        <v>17</v>
      </c>
      <c r="L377" s="7"/>
      <c r="M377" s="7"/>
      <c r="N377" s="7"/>
      <c r="O377" s="7"/>
      <c r="Q377" s="7"/>
      <c r="R377" s="7"/>
      <c r="S377" s="7"/>
    </row>
    <row r="378" spans="1:19" x14ac:dyDescent="0.2">
      <c r="A378" s="7" t="s">
        <v>1886</v>
      </c>
      <c r="B378" s="7" t="s">
        <v>1103</v>
      </c>
      <c r="C378" s="7" t="s">
        <v>2171</v>
      </c>
      <c r="D378" s="24"/>
      <c r="E378" s="7" t="s">
        <v>2172</v>
      </c>
      <c r="G378" s="7" t="s">
        <v>2173</v>
      </c>
      <c r="I378" s="7"/>
      <c r="J378" s="7"/>
      <c r="K378" s="7" t="s">
        <v>17</v>
      </c>
      <c r="L378" s="7"/>
      <c r="M378" s="7"/>
      <c r="N378" s="7"/>
      <c r="O378" s="7"/>
      <c r="Q378" s="7"/>
      <c r="R378" s="7"/>
      <c r="S378" s="7"/>
    </row>
    <row r="379" spans="1:19" x14ac:dyDescent="0.2">
      <c r="A379" s="7" t="s">
        <v>2177</v>
      </c>
      <c r="B379" s="7" t="s">
        <v>1104</v>
      </c>
      <c r="C379" s="7" t="s">
        <v>2174</v>
      </c>
      <c r="D379" s="24"/>
      <c r="E379" s="7" t="s">
        <v>2175</v>
      </c>
      <c r="G379" s="7" t="s">
        <v>2176</v>
      </c>
      <c r="I379" s="7"/>
      <c r="J379" s="7"/>
      <c r="K379" s="7" t="s">
        <v>17</v>
      </c>
      <c r="L379" s="7"/>
      <c r="M379" s="7"/>
      <c r="N379" s="7"/>
      <c r="O379" s="7"/>
      <c r="Q379" s="7"/>
      <c r="R379" s="7"/>
      <c r="S379" s="7"/>
    </row>
    <row r="380" spans="1:19" x14ac:dyDescent="0.2">
      <c r="A380" s="7" t="s">
        <v>2177</v>
      </c>
      <c r="B380" s="7" t="s">
        <v>1105</v>
      </c>
      <c r="C380" s="7" t="s">
        <v>2179</v>
      </c>
      <c r="D380" s="24"/>
      <c r="E380" s="7" t="s">
        <v>2180</v>
      </c>
      <c r="G380" s="7" t="s">
        <v>2181</v>
      </c>
      <c r="I380" s="7"/>
      <c r="J380" s="7"/>
      <c r="K380" s="7" t="s">
        <v>17</v>
      </c>
      <c r="L380" s="7"/>
      <c r="M380" s="7"/>
      <c r="N380" s="7"/>
      <c r="O380" s="7"/>
      <c r="Q380" s="7"/>
      <c r="R380" s="7"/>
      <c r="S380" s="7"/>
    </row>
    <row r="381" spans="1:19" x14ac:dyDescent="0.2">
      <c r="A381" s="7" t="s">
        <v>2177</v>
      </c>
      <c r="B381" s="7" t="s">
        <v>1106</v>
      </c>
      <c r="C381" s="7" t="s">
        <v>2182</v>
      </c>
      <c r="D381" s="24"/>
      <c r="E381" s="7" t="s">
        <v>2183</v>
      </c>
      <c r="G381" s="7" t="s">
        <v>2184</v>
      </c>
      <c r="I381" s="7"/>
      <c r="J381" s="7"/>
      <c r="K381" s="7" t="s">
        <v>17</v>
      </c>
      <c r="L381" s="7"/>
      <c r="M381" s="7"/>
      <c r="N381" s="7"/>
      <c r="O381" s="7"/>
      <c r="Q381" s="7"/>
      <c r="R381" s="7"/>
      <c r="S381" s="7"/>
    </row>
    <row r="382" spans="1:19" x14ac:dyDescent="0.2">
      <c r="A382" s="7" t="s">
        <v>1886</v>
      </c>
      <c r="B382" s="7" t="s">
        <v>3475</v>
      </c>
      <c r="C382" s="7" t="s">
        <v>3454</v>
      </c>
      <c r="D382" s="24"/>
      <c r="E382" s="7" t="s">
        <v>3455</v>
      </c>
      <c r="G382" s="7" t="s">
        <v>3456</v>
      </c>
      <c r="I382" s="7"/>
      <c r="J382" s="7"/>
      <c r="K382" s="7" t="s">
        <v>17</v>
      </c>
      <c r="L382" s="7"/>
      <c r="M382" s="7"/>
      <c r="N382" s="7"/>
      <c r="O382" s="7"/>
      <c r="Q382" s="7"/>
      <c r="R382" s="7"/>
      <c r="S382" s="7"/>
    </row>
    <row r="383" spans="1:19" x14ac:dyDescent="0.2">
      <c r="A383" s="7" t="s">
        <v>3495</v>
      </c>
      <c r="B383" s="7" t="s">
        <v>3476</v>
      </c>
      <c r="C383" s="7" t="s">
        <v>3457</v>
      </c>
      <c r="D383" s="24"/>
      <c r="E383" s="7" t="s">
        <v>3458</v>
      </c>
      <c r="G383" s="7" t="s">
        <v>3459</v>
      </c>
      <c r="I383" s="7"/>
      <c r="J383" s="7"/>
      <c r="K383" s="7" t="s">
        <v>17</v>
      </c>
      <c r="L383" s="7"/>
      <c r="M383" s="7"/>
      <c r="N383" s="7"/>
      <c r="O383" s="7" t="s">
        <v>3542</v>
      </c>
      <c r="Q383" s="7"/>
      <c r="R383" s="7"/>
      <c r="S383" s="7"/>
    </row>
    <row r="384" spans="1:19" outlineLevel="1" x14ac:dyDescent="0.2">
      <c r="A384" s="7" t="s">
        <v>26</v>
      </c>
      <c r="B384" s="7" t="s">
        <v>3543</v>
      </c>
      <c r="C384" s="7" t="s">
        <v>320</v>
      </c>
      <c r="D384" s="24"/>
      <c r="E384" s="7" t="s">
        <v>61</v>
      </c>
      <c r="G384" s="7" t="s">
        <v>1158</v>
      </c>
      <c r="I384" s="63"/>
      <c r="J384" s="7"/>
      <c r="K384" s="7" t="s">
        <v>17</v>
      </c>
      <c r="O384" s="7" t="s">
        <v>3544</v>
      </c>
    </row>
    <row r="385" spans="1:19" x14ac:dyDescent="0.2">
      <c r="A385" s="7" t="s">
        <v>3508</v>
      </c>
      <c r="B385" s="7" t="s">
        <v>3496</v>
      </c>
      <c r="C385" s="7" t="s">
        <v>3460</v>
      </c>
      <c r="D385" s="24" t="s">
        <v>3463</v>
      </c>
      <c r="E385" s="7" t="s">
        <v>3461</v>
      </c>
      <c r="F385" s="24" t="s">
        <v>3464</v>
      </c>
      <c r="G385" s="7" t="s">
        <v>3462</v>
      </c>
      <c r="H385" s="24" t="s">
        <v>3465</v>
      </c>
      <c r="I385" s="7"/>
      <c r="J385" s="45" t="s">
        <v>3620</v>
      </c>
      <c r="K385" s="7" t="s">
        <v>17</v>
      </c>
      <c r="L385" s="7"/>
      <c r="M385" s="7"/>
      <c r="N385" s="7"/>
      <c r="O385" s="7"/>
      <c r="Q385" s="7"/>
      <c r="R385" s="7"/>
      <c r="S385" s="7"/>
    </row>
    <row r="386" spans="1:19" x14ac:dyDescent="0.2">
      <c r="A386" s="7" t="s">
        <v>3525</v>
      </c>
      <c r="B386" s="7" t="s">
        <v>3477</v>
      </c>
      <c r="C386" s="7" t="s">
        <v>3466</v>
      </c>
      <c r="D386" s="24"/>
      <c r="E386" s="7" t="s">
        <v>3467</v>
      </c>
      <c r="G386" s="7" t="s">
        <v>3468</v>
      </c>
      <c r="I386" s="7"/>
      <c r="J386" s="7"/>
      <c r="K386" s="7" t="s">
        <v>17</v>
      </c>
      <c r="L386" s="7"/>
      <c r="M386" s="7"/>
      <c r="N386" s="7"/>
      <c r="O386" s="7" t="s">
        <v>3621</v>
      </c>
      <c r="Q386" s="7"/>
      <c r="R386" s="7"/>
      <c r="S386" s="7"/>
    </row>
    <row r="387" spans="1:19" x14ac:dyDescent="0.2">
      <c r="A387" s="7" t="s">
        <v>3536</v>
      </c>
      <c r="B387" s="7" t="s">
        <v>3478</v>
      </c>
      <c r="C387" s="7" t="s">
        <v>3469</v>
      </c>
      <c r="D387" s="24"/>
      <c r="E387" s="7" t="s">
        <v>3470</v>
      </c>
      <c r="G387" s="7" t="s">
        <v>3471</v>
      </c>
      <c r="I387" s="7"/>
      <c r="J387" s="7"/>
      <c r="K387" s="7" t="s">
        <v>17</v>
      </c>
      <c r="L387" s="7"/>
      <c r="M387" s="7"/>
      <c r="N387" s="7"/>
      <c r="O387" s="7" t="s">
        <v>3621</v>
      </c>
      <c r="Q387" s="7"/>
      <c r="R387" s="7"/>
      <c r="S387" s="7"/>
    </row>
    <row r="388" spans="1:19" x14ac:dyDescent="0.2">
      <c r="A388" s="7" t="s">
        <v>3541</v>
      </c>
      <c r="B388" s="7" t="s">
        <v>3479</v>
      </c>
      <c r="C388" s="7" t="s">
        <v>3472</v>
      </c>
      <c r="D388" s="24"/>
      <c r="E388" s="7" t="s">
        <v>3473</v>
      </c>
      <c r="G388" s="7" t="s">
        <v>3474</v>
      </c>
      <c r="I388" s="7"/>
      <c r="J388" s="7"/>
      <c r="K388" s="7" t="s">
        <v>17</v>
      </c>
      <c r="L388" s="7"/>
      <c r="M388" s="7"/>
      <c r="N388" s="7"/>
      <c r="O388" s="7"/>
      <c r="Q388" s="7"/>
      <c r="R388" s="7"/>
      <c r="S388" s="7"/>
    </row>
    <row r="389" spans="1:19" s="111" customFormat="1" ht="15" x14ac:dyDescent="0.25">
      <c r="A389" s="109" t="s">
        <v>16</v>
      </c>
      <c r="B389" s="56" t="s">
        <v>3746</v>
      </c>
      <c r="C389" s="86" t="s">
        <v>3745</v>
      </c>
      <c r="D389" s="86"/>
      <c r="E389" s="56"/>
      <c r="F389" s="86"/>
      <c r="G389" s="56"/>
      <c r="H389" s="86"/>
      <c r="I389" s="56"/>
      <c r="J389" s="56"/>
      <c r="K389" s="56"/>
      <c r="L389" s="56"/>
      <c r="M389" s="56"/>
      <c r="N389" s="56"/>
      <c r="O389" s="56"/>
      <c r="P389" s="110" t="s">
        <v>47</v>
      </c>
      <c r="Q389" s="56"/>
      <c r="R389" s="56"/>
      <c r="S389" s="56"/>
    </row>
    <row r="390" spans="1:19" ht="15" x14ac:dyDescent="0.25">
      <c r="A390" t="s">
        <v>3801</v>
      </c>
      <c r="B390" t="s">
        <v>3747</v>
      </c>
      <c r="C390" t="s">
        <v>3755</v>
      </c>
      <c r="D390" s="24"/>
      <c r="E390" t="s">
        <v>3771</v>
      </c>
      <c r="G390" s="7" t="s">
        <v>3773</v>
      </c>
      <c r="I390" s="7"/>
      <c r="J390" s="7"/>
      <c r="K390" s="7" t="s">
        <v>17</v>
      </c>
      <c r="L390" s="7"/>
      <c r="M390" s="7"/>
      <c r="N390" s="7"/>
      <c r="O390" s="7"/>
      <c r="Q390" s="7"/>
      <c r="R390" s="7"/>
      <c r="S390" s="7"/>
    </row>
    <row r="391" spans="1:19" ht="15" x14ac:dyDescent="0.25">
      <c r="A391" s="7" t="s">
        <v>26</v>
      </c>
      <c r="B391" t="s">
        <v>3820</v>
      </c>
      <c r="C391" s="8" t="s">
        <v>140</v>
      </c>
      <c r="D391" s="104"/>
      <c r="E391" s="8" t="s">
        <v>653</v>
      </c>
      <c r="F391" s="104"/>
      <c r="G391" s="8" t="s">
        <v>1158</v>
      </c>
      <c r="I391" s="7"/>
      <c r="J391" s="7"/>
      <c r="K391" s="7" t="s">
        <v>17</v>
      </c>
      <c r="L391" s="7"/>
      <c r="M391" s="7"/>
      <c r="N391" s="7"/>
      <c r="O391" s="59" t="s">
        <v>3821</v>
      </c>
      <c r="Q391" s="7"/>
      <c r="R391" s="7"/>
      <c r="S391" s="7"/>
    </row>
    <row r="392" spans="1:19" ht="15" x14ac:dyDescent="0.25">
      <c r="A392" t="s">
        <v>22</v>
      </c>
      <c r="B392"/>
      <c r="C392" t="s">
        <v>3756</v>
      </c>
      <c r="D392" s="24"/>
      <c r="E392" t="s">
        <v>3772</v>
      </c>
      <c r="G392" s="7" t="s">
        <v>3774</v>
      </c>
      <c r="I392" s="7"/>
      <c r="J392" s="7"/>
      <c r="K392" s="7"/>
      <c r="L392" s="7"/>
      <c r="M392" s="7"/>
      <c r="N392" s="7"/>
      <c r="O392" s="7"/>
      <c r="P392" s="58"/>
      <c r="Q392" s="7"/>
      <c r="S392" s="7"/>
    </row>
    <row r="393" spans="1:19" ht="15" x14ac:dyDescent="0.25">
      <c r="A393" t="s">
        <v>3800</v>
      </c>
      <c r="B393" t="s">
        <v>3748</v>
      </c>
      <c r="C393" t="s">
        <v>3831</v>
      </c>
      <c r="D393" s="24"/>
      <c r="E393" s="7" t="s">
        <v>3775</v>
      </c>
      <c r="G393" s="7" t="s">
        <v>3775</v>
      </c>
      <c r="I393" s="7"/>
      <c r="J393" s="7"/>
      <c r="K393" s="7" t="s">
        <v>17</v>
      </c>
      <c r="L393" s="7"/>
      <c r="M393" s="7"/>
      <c r="N393" s="7"/>
      <c r="P393" s="58" t="s">
        <v>3763</v>
      </c>
      <c r="Q393" s="7"/>
      <c r="R393" s="59" t="s">
        <v>3764</v>
      </c>
      <c r="S393" s="7"/>
    </row>
    <row r="394" spans="1:19" ht="15" x14ac:dyDescent="0.25">
      <c r="A394" t="s">
        <v>3800</v>
      </c>
      <c r="B394" t="s">
        <v>3749</v>
      </c>
      <c r="C394" t="s">
        <v>3832</v>
      </c>
      <c r="D394" s="24"/>
      <c r="E394" s="7" t="s">
        <v>3776</v>
      </c>
      <c r="G394" s="7" t="s">
        <v>3776</v>
      </c>
      <c r="I394" s="7"/>
      <c r="J394" s="7"/>
      <c r="K394" s="7" t="s">
        <v>17</v>
      </c>
      <c r="L394" s="7"/>
      <c r="M394" s="7"/>
      <c r="N394" s="7"/>
      <c r="O394" t="s">
        <v>3757</v>
      </c>
      <c r="P394" s="58" t="s">
        <v>3763</v>
      </c>
      <c r="Q394" s="7"/>
      <c r="R394" s="60" t="s">
        <v>3765</v>
      </c>
      <c r="S394" s="7"/>
    </row>
    <row r="395" spans="1:19" ht="15" x14ac:dyDescent="0.25">
      <c r="A395" t="s">
        <v>3800</v>
      </c>
      <c r="B395" t="s">
        <v>3750</v>
      </c>
      <c r="C395" t="s">
        <v>3833</v>
      </c>
      <c r="D395" s="24"/>
      <c r="E395" s="7" t="s">
        <v>3777</v>
      </c>
      <c r="G395" s="7" t="s">
        <v>3777</v>
      </c>
      <c r="I395" s="7"/>
      <c r="J395" s="7"/>
      <c r="K395" s="7" t="s">
        <v>17</v>
      </c>
      <c r="L395" s="7"/>
      <c r="M395" s="7"/>
      <c r="N395" s="7"/>
      <c r="O395" t="s">
        <v>3758</v>
      </c>
      <c r="P395" s="58" t="s">
        <v>3763</v>
      </c>
      <c r="Q395" s="7"/>
      <c r="R395" s="60" t="s">
        <v>3766</v>
      </c>
      <c r="S395" s="7"/>
    </row>
    <row r="396" spans="1:19" ht="15" x14ac:dyDescent="0.25">
      <c r="A396" t="s">
        <v>3800</v>
      </c>
      <c r="B396" t="s">
        <v>3751</v>
      </c>
      <c r="C396" t="s">
        <v>3834</v>
      </c>
      <c r="D396" s="24"/>
      <c r="E396" s="7" t="s">
        <v>3778</v>
      </c>
      <c r="G396" s="7" t="s">
        <v>3778</v>
      </c>
      <c r="I396" s="7"/>
      <c r="J396" s="7"/>
      <c r="K396" s="7" t="s">
        <v>17</v>
      </c>
      <c r="L396" s="7"/>
      <c r="M396" s="7"/>
      <c r="N396" s="7"/>
      <c r="O396" t="s">
        <v>3759</v>
      </c>
      <c r="P396" s="58" t="s">
        <v>3763</v>
      </c>
      <c r="Q396" s="7"/>
      <c r="R396" s="60" t="s">
        <v>3767</v>
      </c>
      <c r="S396" s="7"/>
    </row>
    <row r="397" spans="1:19" ht="15" x14ac:dyDescent="0.25">
      <c r="A397" t="s">
        <v>3800</v>
      </c>
      <c r="B397" t="s">
        <v>3752</v>
      </c>
      <c r="C397" t="s">
        <v>3835</v>
      </c>
      <c r="D397" s="24"/>
      <c r="E397" s="7" t="s">
        <v>3779</v>
      </c>
      <c r="G397" s="7" t="s">
        <v>3779</v>
      </c>
      <c r="I397" s="7"/>
      <c r="J397" s="7"/>
      <c r="K397" s="7" t="s">
        <v>17</v>
      </c>
      <c r="L397" s="7"/>
      <c r="M397" s="7"/>
      <c r="N397" s="7"/>
      <c r="O397" t="s">
        <v>3760</v>
      </c>
      <c r="P397" s="58" t="s">
        <v>3763</v>
      </c>
      <c r="Q397" s="7"/>
      <c r="R397" s="60" t="s">
        <v>3768</v>
      </c>
      <c r="S397" s="7"/>
    </row>
    <row r="398" spans="1:19" ht="15" x14ac:dyDescent="0.25">
      <c r="A398" t="s">
        <v>3800</v>
      </c>
      <c r="B398" t="s">
        <v>3753</v>
      </c>
      <c r="C398" t="s">
        <v>3836</v>
      </c>
      <c r="D398" s="24"/>
      <c r="E398" s="7" t="s">
        <v>3780</v>
      </c>
      <c r="G398" s="7" t="s">
        <v>3780</v>
      </c>
      <c r="I398" s="7"/>
      <c r="J398" s="7"/>
      <c r="K398" s="7" t="s">
        <v>17</v>
      </c>
      <c r="L398" s="7"/>
      <c r="M398" s="7"/>
      <c r="N398" s="7"/>
      <c r="O398" t="s">
        <v>3761</v>
      </c>
      <c r="P398" s="58" t="s">
        <v>3763</v>
      </c>
      <c r="Q398" s="7"/>
      <c r="R398" s="60" t="s">
        <v>3769</v>
      </c>
      <c r="S398" s="7"/>
    </row>
    <row r="399" spans="1:19" ht="15" x14ac:dyDescent="0.25">
      <c r="A399" t="s">
        <v>3800</v>
      </c>
      <c r="B399" t="s">
        <v>3754</v>
      </c>
      <c r="C399" t="s">
        <v>3837</v>
      </c>
      <c r="D399" s="24"/>
      <c r="E399" s="7" t="s">
        <v>3781</v>
      </c>
      <c r="G399" s="7" t="s">
        <v>3781</v>
      </c>
      <c r="I399" s="7"/>
      <c r="J399" s="7"/>
      <c r="K399" s="7" t="s">
        <v>17</v>
      </c>
      <c r="L399" s="7"/>
      <c r="M399" s="7"/>
      <c r="N399" s="7"/>
      <c r="O399" t="s">
        <v>3762</v>
      </c>
      <c r="P399" s="58" t="s">
        <v>3763</v>
      </c>
      <c r="Q399" s="7"/>
      <c r="R399" s="60" t="s">
        <v>3770</v>
      </c>
      <c r="S399" s="7"/>
    </row>
    <row r="400" spans="1:19" s="111" customFormat="1" ht="15" x14ac:dyDescent="0.25">
      <c r="A400" s="109" t="s">
        <v>48</v>
      </c>
      <c r="B400" s="56"/>
      <c r="C400" s="56"/>
      <c r="D400" s="86"/>
      <c r="E400" s="56"/>
      <c r="F400" s="86"/>
      <c r="G400" s="56"/>
      <c r="H400" s="86"/>
      <c r="I400" s="56"/>
      <c r="J400" s="56"/>
      <c r="K400" s="56"/>
      <c r="L400" s="56"/>
      <c r="M400" s="56"/>
      <c r="N400" s="56"/>
      <c r="O400" s="56"/>
      <c r="P400" s="57"/>
      <c r="Q400" s="56"/>
      <c r="R400" s="56"/>
      <c r="S400" s="56"/>
    </row>
    <row r="401" spans="1:19" x14ac:dyDescent="0.2">
      <c r="A401" s="7"/>
      <c r="B401" s="7"/>
      <c r="C401" s="7"/>
      <c r="D401" s="24"/>
      <c r="I401" s="7"/>
      <c r="J401" s="7"/>
      <c r="K401" s="7"/>
      <c r="L401" s="7"/>
      <c r="M401" s="7"/>
      <c r="N401" s="7"/>
      <c r="O401" s="7"/>
      <c r="Q401" s="7"/>
      <c r="R401" s="7"/>
      <c r="S401" s="7"/>
    </row>
    <row r="402" spans="1:19" x14ac:dyDescent="0.2">
      <c r="A402" s="7"/>
      <c r="B402" s="7"/>
      <c r="C402" s="7"/>
      <c r="D402" s="24"/>
      <c r="I402" s="7"/>
      <c r="J402" s="7"/>
      <c r="K402" s="7"/>
      <c r="L402" s="7"/>
      <c r="M402" s="7"/>
      <c r="N402" s="7"/>
      <c r="O402" s="7"/>
      <c r="Q402" s="7"/>
      <c r="R402" s="7"/>
      <c r="S402" s="7"/>
    </row>
    <row r="403" spans="1:19" s="111" customFormat="1" ht="15" x14ac:dyDescent="0.25">
      <c r="A403" s="109" t="s">
        <v>16</v>
      </c>
      <c r="B403" s="56" t="s">
        <v>3782</v>
      </c>
      <c r="C403" s="86" t="s">
        <v>3745</v>
      </c>
      <c r="D403" s="86"/>
      <c r="E403" s="56"/>
      <c r="F403" s="86"/>
      <c r="G403" s="56"/>
      <c r="H403" s="86"/>
      <c r="I403" s="56"/>
      <c r="J403" s="56"/>
      <c r="K403" s="56"/>
      <c r="L403" s="56"/>
      <c r="M403" s="56"/>
      <c r="N403" s="56"/>
      <c r="O403" s="56"/>
      <c r="P403" s="110" t="s">
        <v>47</v>
      </c>
      <c r="Q403" s="56"/>
      <c r="R403" s="56"/>
      <c r="S403" s="56"/>
    </row>
    <row r="404" spans="1:19" ht="15" x14ac:dyDescent="0.25">
      <c r="A404" t="s">
        <v>3801</v>
      </c>
      <c r="B404" t="s">
        <v>3783</v>
      </c>
      <c r="C404" t="s">
        <v>3797</v>
      </c>
      <c r="D404" s="24"/>
      <c r="E404" t="s">
        <v>3798</v>
      </c>
      <c r="G404" s="7" t="s">
        <v>3799</v>
      </c>
      <c r="I404" s="7"/>
      <c r="J404" s="7"/>
      <c r="K404" s="7" t="s">
        <v>17</v>
      </c>
      <c r="L404" s="7"/>
      <c r="M404" s="7"/>
      <c r="N404" s="7"/>
      <c r="O404" s="7"/>
      <c r="Q404" s="7"/>
      <c r="R404" s="7"/>
      <c r="S404" s="7"/>
    </row>
    <row r="405" spans="1:19" ht="15" x14ac:dyDescent="0.25">
      <c r="A405" s="7" t="s">
        <v>26</v>
      </c>
      <c r="B405" t="s">
        <v>3822</v>
      </c>
      <c r="C405" s="8" t="s">
        <v>140</v>
      </c>
      <c r="D405" s="104"/>
      <c r="E405" s="8" t="s">
        <v>653</v>
      </c>
      <c r="F405" s="104"/>
      <c r="G405" s="8" t="s">
        <v>1158</v>
      </c>
      <c r="I405" s="7"/>
      <c r="J405" s="7"/>
      <c r="K405" s="7" t="s">
        <v>17</v>
      </c>
      <c r="L405" s="7"/>
      <c r="M405" s="7"/>
      <c r="N405" s="7"/>
      <c r="O405" s="59" t="s">
        <v>3823</v>
      </c>
      <c r="Q405" s="7"/>
      <c r="R405" s="7"/>
      <c r="S405" s="7"/>
    </row>
    <row r="406" spans="1:19" ht="15" x14ac:dyDescent="0.25">
      <c r="A406" t="s">
        <v>22</v>
      </c>
      <c r="B406"/>
      <c r="C406" t="s">
        <v>3756</v>
      </c>
      <c r="D406" s="24"/>
      <c r="E406" t="s">
        <v>3772</v>
      </c>
      <c r="G406" s="7" t="s">
        <v>3774</v>
      </c>
      <c r="I406" s="7"/>
      <c r="J406" s="7"/>
      <c r="K406" s="7"/>
      <c r="L406" s="7"/>
      <c r="M406" s="7"/>
      <c r="N406" s="7"/>
      <c r="O406" s="7"/>
      <c r="P406" s="58"/>
      <c r="Q406" s="7"/>
      <c r="S406" s="7"/>
    </row>
    <row r="407" spans="1:19" ht="15" x14ac:dyDescent="0.25">
      <c r="A407" t="s">
        <v>3800</v>
      </c>
      <c r="B407" t="s">
        <v>3824</v>
      </c>
      <c r="C407" t="s">
        <v>3831</v>
      </c>
      <c r="D407" s="24"/>
      <c r="E407" s="7" t="s">
        <v>3775</v>
      </c>
      <c r="G407" s="7" t="s">
        <v>3775</v>
      </c>
      <c r="I407" s="7"/>
      <c r="J407" s="7"/>
      <c r="K407" s="7" t="s">
        <v>17</v>
      </c>
      <c r="L407" s="7"/>
      <c r="M407" s="7"/>
      <c r="N407" s="7"/>
      <c r="O407"/>
      <c r="P407" s="58" t="s">
        <v>3763</v>
      </c>
      <c r="Q407" s="7"/>
      <c r="R407" s="59" t="s">
        <v>3790</v>
      </c>
      <c r="S407" s="7"/>
    </row>
    <row r="408" spans="1:19" ht="15" x14ac:dyDescent="0.25">
      <c r="A408" t="s">
        <v>3800</v>
      </c>
      <c r="B408" t="s">
        <v>3825</v>
      </c>
      <c r="C408" t="s">
        <v>3832</v>
      </c>
      <c r="D408" s="24"/>
      <c r="E408" s="7" t="s">
        <v>3776</v>
      </c>
      <c r="G408" s="7" t="s">
        <v>3776</v>
      </c>
      <c r="I408" s="7"/>
      <c r="J408" s="7"/>
      <c r="K408" s="7" t="s">
        <v>17</v>
      </c>
      <c r="L408" s="7"/>
      <c r="M408" s="7"/>
      <c r="N408" s="7"/>
      <c r="O408" t="s">
        <v>3784</v>
      </c>
      <c r="P408" s="58" t="s">
        <v>3763</v>
      </c>
      <c r="Q408" s="7"/>
      <c r="R408" s="60" t="s">
        <v>3791</v>
      </c>
      <c r="S408" s="7"/>
    </row>
    <row r="409" spans="1:19" ht="15" x14ac:dyDescent="0.25">
      <c r="A409" t="s">
        <v>3800</v>
      </c>
      <c r="B409" t="s">
        <v>3826</v>
      </c>
      <c r="C409" t="s">
        <v>3833</v>
      </c>
      <c r="D409" s="24"/>
      <c r="E409" s="7" t="s">
        <v>3777</v>
      </c>
      <c r="G409" s="7" t="s">
        <v>3777</v>
      </c>
      <c r="I409" s="7"/>
      <c r="J409" s="7"/>
      <c r="K409" s="7" t="s">
        <v>17</v>
      </c>
      <c r="L409" s="7"/>
      <c r="M409" s="7"/>
      <c r="N409" s="7"/>
      <c r="O409" t="s">
        <v>3785</v>
      </c>
      <c r="P409" s="58" t="s">
        <v>3763</v>
      </c>
      <c r="Q409" s="7"/>
      <c r="R409" s="60" t="s">
        <v>3792</v>
      </c>
      <c r="S409" s="7"/>
    </row>
    <row r="410" spans="1:19" ht="15" x14ac:dyDescent="0.25">
      <c r="A410" t="s">
        <v>3800</v>
      </c>
      <c r="B410" t="s">
        <v>3827</v>
      </c>
      <c r="C410" t="s">
        <v>3834</v>
      </c>
      <c r="D410" s="24"/>
      <c r="E410" s="7" t="s">
        <v>3778</v>
      </c>
      <c r="G410" s="7" t="s">
        <v>3778</v>
      </c>
      <c r="I410" s="7"/>
      <c r="J410" s="7"/>
      <c r="K410" s="7" t="s">
        <v>17</v>
      </c>
      <c r="L410" s="7"/>
      <c r="M410" s="7"/>
      <c r="N410" s="7"/>
      <c r="O410" t="s">
        <v>3786</v>
      </c>
      <c r="P410" s="58" t="s">
        <v>3763</v>
      </c>
      <c r="Q410" s="7"/>
      <c r="R410" s="60" t="s">
        <v>3793</v>
      </c>
      <c r="S410" s="7"/>
    </row>
    <row r="411" spans="1:19" ht="15" x14ac:dyDescent="0.25">
      <c r="A411" t="s">
        <v>3800</v>
      </c>
      <c r="B411" t="s">
        <v>3828</v>
      </c>
      <c r="C411" t="s">
        <v>3835</v>
      </c>
      <c r="D411" s="24"/>
      <c r="E411" s="7" t="s">
        <v>3779</v>
      </c>
      <c r="G411" s="7" t="s">
        <v>3779</v>
      </c>
      <c r="I411" s="7"/>
      <c r="J411" s="7"/>
      <c r="K411" s="7" t="s">
        <v>17</v>
      </c>
      <c r="L411" s="7"/>
      <c r="M411" s="7"/>
      <c r="N411" s="7"/>
      <c r="O411" t="s">
        <v>3787</v>
      </c>
      <c r="P411" s="58" t="s">
        <v>3763</v>
      </c>
      <c r="Q411" s="7"/>
      <c r="R411" s="60" t="s">
        <v>3794</v>
      </c>
      <c r="S411" s="7"/>
    </row>
    <row r="412" spans="1:19" ht="15" x14ac:dyDescent="0.25">
      <c r="A412" t="s">
        <v>3800</v>
      </c>
      <c r="B412" t="s">
        <v>3829</v>
      </c>
      <c r="C412" t="s">
        <v>3836</v>
      </c>
      <c r="D412" s="24"/>
      <c r="E412" s="7" t="s">
        <v>3780</v>
      </c>
      <c r="G412" s="7" t="s">
        <v>3780</v>
      </c>
      <c r="I412" s="7"/>
      <c r="J412" s="7"/>
      <c r="K412" s="7" t="s">
        <v>17</v>
      </c>
      <c r="L412" s="7"/>
      <c r="M412" s="7"/>
      <c r="N412" s="7"/>
      <c r="O412" t="s">
        <v>3788</v>
      </c>
      <c r="P412" s="58" t="s">
        <v>3763</v>
      </c>
      <c r="Q412" s="7"/>
      <c r="R412" s="60" t="s">
        <v>3795</v>
      </c>
      <c r="S412" s="7"/>
    </row>
    <row r="413" spans="1:19" ht="15" x14ac:dyDescent="0.25">
      <c r="A413" t="s">
        <v>3800</v>
      </c>
      <c r="B413" t="s">
        <v>3830</v>
      </c>
      <c r="C413" t="s">
        <v>3837</v>
      </c>
      <c r="D413" s="24"/>
      <c r="E413" s="7" t="s">
        <v>3781</v>
      </c>
      <c r="G413" s="7" t="s">
        <v>3781</v>
      </c>
      <c r="I413" s="7"/>
      <c r="J413" s="7"/>
      <c r="K413" s="7" t="s">
        <v>17</v>
      </c>
      <c r="L413" s="7"/>
      <c r="M413" s="7"/>
      <c r="N413" s="7"/>
      <c r="O413" t="s">
        <v>3789</v>
      </c>
      <c r="P413" s="58" t="s">
        <v>3763</v>
      </c>
      <c r="Q413" s="7"/>
      <c r="R413" s="60" t="s">
        <v>3796</v>
      </c>
      <c r="S413" s="7"/>
    </row>
    <row r="414" spans="1:19" s="111" customFormat="1" ht="15" x14ac:dyDescent="0.25">
      <c r="A414" s="109" t="s">
        <v>48</v>
      </c>
      <c r="B414" s="56"/>
      <c r="C414" s="56"/>
      <c r="D414" s="86"/>
      <c r="E414" s="56"/>
      <c r="F414" s="86"/>
      <c r="G414" s="56"/>
      <c r="H414" s="86"/>
      <c r="I414" s="56"/>
      <c r="J414" s="56"/>
      <c r="K414" s="56"/>
      <c r="L414" s="56"/>
      <c r="M414" s="56"/>
      <c r="N414" s="56"/>
      <c r="O414" s="56"/>
      <c r="P414" s="57"/>
      <c r="Q414" s="56"/>
      <c r="R414" s="56"/>
      <c r="S414" s="56"/>
    </row>
    <row r="415" spans="1:19" x14ac:dyDescent="0.2">
      <c r="A415" s="7"/>
      <c r="B415" s="7"/>
      <c r="C415" s="7"/>
      <c r="D415" s="24"/>
      <c r="I415" s="7"/>
      <c r="J415" s="7"/>
      <c r="K415" s="7"/>
      <c r="L415" s="7"/>
      <c r="M415" s="7"/>
      <c r="N415" s="7"/>
      <c r="O415" s="7"/>
      <c r="Q415" s="7"/>
      <c r="R415" s="7"/>
      <c r="S415" s="7"/>
    </row>
    <row r="416" spans="1:19" x14ac:dyDescent="0.2">
      <c r="A416" s="7"/>
      <c r="B416" s="7"/>
      <c r="C416" s="7"/>
      <c r="D416" s="24"/>
      <c r="I416" s="7"/>
      <c r="J416" s="7"/>
      <c r="K416" s="7"/>
      <c r="L416" s="7"/>
      <c r="M416" s="7"/>
      <c r="N416" s="7"/>
      <c r="O416" s="7"/>
      <c r="Q416" s="7"/>
      <c r="R416" s="7"/>
      <c r="S416" s="7"/>
    </row>
    <row r="417" spans="1:19" x14ac:dyDescent="0.2">
      <c r="A417" s="40"/>
      <c r="B417" s="40"/>
      <c r="C417" s="40"/>
      <c r="D417" s="87"/>
      <c r="E417" s="40"/>
      <c r="F417" s="87"/>
      <c r="G417" s="40"/>
      <c r="H417" s="87"/>
      <c r="I417" s="40"/>
      <c r="J417" s="40"/>
      <c r="K417" s="40"/>
      <c r="L417" s="40"/>
      <c r="M417" s="40"/>
      <c r="N417" s="40"/>
      <c r="O417" s="40"/>
      <c r="P417" s="40"/>
      <c r="Q417" s="40"/>
      <c r="R417" s="40"/>
      <c r="S417" s="40"/>
    </row>
    <row r="418" spans="1:19" x14ac:dyDescent="0.2">
      <c r="A418" s="25" t="s">
        <v>21</v>
      </c>
      <c r="B418" s="25" t="s">
        <v>3310</v>
      </c>
      <c r="C418" s="25"/>
      <c r="D418" s="26"/>
      <c r="E418" s="25"/>
      <c r="F418" s="26"/>
      <c r="G418" s="25"/>
      <c r="H418" s="26"/>
      <c r="I418" s="25"/>
      <c r="J418" s="25"/>
      <c r="K418" s="25"/>
      <c r="L418" s="25"/>
      <c r="M418" s="25" t="s">
        <v>6326</v>
      </c>
      <c r="N418" s="25"/>
      <c r="O418" s="25"/>
      <c r="P418" s="25"/>
      <c r="Q418" s="25"/>
      <c r="R418" s="25"/>
      <c r="S418" s="25"/>
    </row>
    <row r="419" spans="1:19" x14ac:dyDescent="0.2">
      <c r="A419" s="7" t="s">
        <v>1886</v>
      </c>
      <c r="B419" s="7" t="s">
        <v>3232</v>
      </c>
      <c r="C419" s="7" t="s">
        <v>3105</v>
      </c>
      <c r="D419" s="7"/>
      <c r="E419" s="7" t="s">
        <v>3201</v>
      </c>
      <c r="G419" s="7" t="s">
        <v>3202</v>
      </c>
      <c r="I419" s="7"/>
      <c r="J419" s="7"/>
      <c r="K419" s="7" t="s">
        <v>17</v>
      </c>
      <c r="L419" s="7"/>
      <c r="M419" s="7"/>
      <c r="N419" s="7"/>
      <c r="O419" s="7" t="s">
        <v>3311</v>
      </c>
      <c r="Q419" s="7"/>
      <c r="R419" s="7"/>
      <c r="S419" s="7"/>
    </row>
    <row r="420" spans="1:19" x14ac:dyDescent="0.2">
      <c r="A420" s="7" t="s">
        <v>28</v>
      </c>
      <c r="B420" s="7" t="s">
        <v>3234</v>
      </c>
      <c r="C420" s="7" t="s">
        <v>3106</v>
      </c>
      <c r="D420" s="7"/>
      <c r="E420" s="7" t="s">
        <v>3203</v>
      </c>
      <c r="G420" s="7" t="s">
        <v>3204</v>
      </c>
      <c r="I420" s="7"/>
      <c r="J420" s="7" t="s">
        <v>3199</v>
      </c>
      <c r="K420" s="7" t="s">
        <v>17</v>
      </c>
      <c r="L420" s="7"/>
      <c r="M420" s="7"/>
      <c r="N420" s="7"/>
      <c r="O420" s="7" t="s">
        <v>3233</v>
      </c>
      <c r="Q420" s="7"/>
      <c r="R420" s="7"/>
      <c r="S420" s="7"/>
    </row>
    <row r="421" spans="1:19" ht="58.9" customHeight="1" x14ac:dyDescent="0.2">
      <c r="A421" s="7" t="s">
        <v>28</v>
      </c>
      <c r="B421" s="7" t="s">
        <v>3235</v>
      </c>
      <c r="C421" s="7" t="s">
        <v>3236</v>
      </c>
      <c r="D421" s="7" t="s">
        <v>3237</v>
      </c>
      <c r="E421" s="7" t="s">
        <v>3238</v>
      </c>
      <c r="F421" s="13" t="s">
        <v>3248</v>
      </c>
      <c r="G421" s="7" t="s">
        <v>3239</v>
      </c>
      <c r="H421" s="13" t="s">
        <v>3249</v>
      </c>
      <c r="I421" s="7"/>
      <c r="J421" s="7" t="s">
        <v>4398</v>
      </c>
      <c r="K421" s="7" t="s">
        <v>17</v>
      </c>
      <c r="L421" s="7"/>
      <c r="M421" s="7"/>
      <c r="N421" s="7"/>
      <c r="O421" s="7" t="s">
        <v>3233</v>
      </c>
      <c r="Q421" s="7"/>
      <c r="R421" s="7"/>
      <c r="S421" s="7"/>
    </row>
    <row r="422" spans="1:19" x14ac:dyDescent="0.2">
      <c r="A422" s="7" t="s">
        <v>28</v>
      </c>
      <c r="B422" s="7" t="s">
        <v>3240</v>
      </c>
      <c r="C422" s="7" t="s">
        <v>3107</v>
      </c>
      <c r="D422" s="24"/>
      <c r="E422" s="7" t="s">
        <v>3205</v>
      </c>
      <c r="G422" s="7" t="s">
        <v>3206</v>
      </c>
      <c r="I422" s="7"/>
      <c r="J422" s="7" t="s">
        <v>3200</v>
      </c>
      <c r="K422" s="7" t="s">
        <v>17</v>
      </c>
      <c r="L422" s="7"/>
      <c r="M422" s="7"/>
      <c r="N422" s="7"/>
      <c r="O422" s="7" t="s">
        <v>3233</v>
      </c>
      <c r="Q422" s="7"/>
      <c r="R422" s="7"/>
      <c r="S422" s="7"/>
    </row>
    <row r="423" spans="1:19" x14ac:dyDescent="0.2">
      <c r="A423" s="7" t="s">
        <v>28</v>
      </c>
      <c r="B423" s="7" t="s">
        <v>3242</v>
      </c>
      <c r="C423" s="7" t="s">
        <v>3108</v>
      </c>
      <c r="D423" s="24"/>
      <c r="E423" s="7" t="s">
        <v>3207</v>
      </c>
      <c r="G423" s="7" t="s">
        <v>3208</v>
      </c>
      <c r="I423" s="7"/>
      <c r="J423" s="7" t="s">
        <v>4398</v>
      </c>
      <c r="K423" s="7" t="s">
        <v>17</v>
      </c>
      <c r="L423" s="7"/>
      <c r="M423" s="7"/>
      <c r="N423" s="7"/>
      <c r="O423" s="7" t="s">
        <v>3241</v>
      </c>
      <c r="Q423" s="7"/>
      <c r="R423" s="7"/>
      <c r="S423" s="7"/>
    </row>
    <row r="424" spans="1:19" x14ac:dyDescent="0.2">
      <c r="A424" s="7" t="s">
        <v>28</v>
      </c>
      <c r="B424" s="7" t="s">
        <v>3243</v>
      </c>
      <c r="C424" s="7" t="s">
        <v>3244</v>
      </c>
      <c r="D424" s="7" t="s">
        <v>3237</v>
      </c>
      <c r="E424" s="7" t="s">
        <v>3238</v>
      </c>
      <c r="F424" s="13" t="s">
        <v>3248</v>
      </c>
      <c r="G424" s="7" t="s">
        <v>3239</v>
      </c>
      <c r="H424" s="13" t="s">
        <v>3249</v>
      </c>
      <c r="I424" s="7"/>
      <c r="J424" s="7" t="s">
        <v>4398</v>
      </c>
      <c r="K424" s="7" t="s">
        <v>17</v>
      </c>
      <c r="L424" s="7"/>
      <c r="M424" s="7"/>
      <c r="N424" s="7"/>
      <c r="O424" s="7" t="s">
        <v>3241</v>
      </c>
      <c r="Q424" s="7"/>
      <c r="R424" s="7"/>
      <c r="S424" s="7"/>
    </row>
    <row r="425" spans="1:19" x14ac:dyDescent="0.2">
      <c r="A425" s="7" t="s">
        <v>28</v>
      </c>
      <c r="B425" s="7" t="s">
        <v>3245</v>
      </c>
      <c r="C425" s="7" t="s">
        <v>3109</v>
      </c>
      <c r="D425" s="24"/>
      <c r="E425" s="7" t="s">
        <v>3209</v>
      </c>
      <c r="G425" s="7" t="s">
        <v>3210</v>
      </c>
      <c r="I425" s="7"/>
      <c r="J425" s="7" t="s">
        <v>4399</v>
      </c>
      <c r="K425" s="7" t="s">
        <v>17</v>
      </c>
      <c r="L425" s="7"/>
      <c r="M425" s="7"/>
      <c r="N425" s="7"/>
      <c r="O425" s="7" t="s">
        <v>3241</v>
      </c>
      <c r="Q425" s="7"/>
      <c r="R425" s="7"/>
      <c r="S425" s="7"/>
    </row>
    <row r="426" spans="1:19" x14ac:dyDescent="0.2">
      <c r="A426" s="7" t="s">
        <v>28</v>
      </c>
      <c r="B426" s="7" t="s">
        <v>3246</v>
      </c>
      <c r="C426" s="7" t="s">
        <v>3247</v>
      </c>
      <c r="D426" s="7" t="s">
        <v>3237</v>
      </c>
      <c r="E426" s="7" t="s">
        <v>3238</v>
      </c>
      <c r="F426" s="13" t="s">
        <v>3248</v>
      </c>
      <c r="G426" s="7" t="s">
        <v>3239</v>
      </c>
      <c r="H426" s="13" t="s">
        <v>3249</v>
      </c>
      <c r="I426" s="7"/>
      <c r="J426" s="7" t="s">
        <v>4400</v>
      </c>
      <c r="K426" s="7" t="s">
        <v>17</v>
      </c>
      <c r="L426" s="7"/>
      <c r="M426" s="7"/>
      <c r="N426" s="7"/>
      <c r="O426" s="7" t="s">
        <v>3241</v>
      </c>
      <c r="Q426" s="7"/>
      <c r="R426" s="7"/>
      <c r="S426" s="7"/>
    </row>
    <row r="427" spans="1:19" x14ac:dyDescent="0.2">
      <c r="A427" s="7"/>
      <c r="B427" s="7"/>
      <c r="D427" s="24"/>
      <c r="E427" s="8"/>
      <c r="G427" s="8"/>
      <c r="I427" s="7"/>
      <c r="K427" s="7"/>
      <c r="L427" s="7"/>
      <c r="M427" s="7"/>
      <c r="N427" s="7"/>
      <c r="O427" s="7"/>
      <c r="Q427" s="7"/>
      <c r="R427" s="7"/>
      <c r="S427" s="7"/>
    </row>
    <row r="428" spans="1:19" ht="18.75" x14ac:dyDescent="0.2">
      <c r="A428" s="65" t="s">
        <v>48</v>
      </c>
      <c r="B428" s="65" t="s">
        <v>2067</v>
      </c>
      <c r="C428" s="35"/>
      <c r="D428" s="83"/>
      <c r="E428" s="65"/>
      <c r="F428" s="64"/>
      <c r="G428" s="65"/>
      <c r="H428" s="64"/>
      <c r="I428" s="35"/>
      <c r="J428" s="35"/>
      <c r="K428" s="35"/>
      <c r="L428" s="35"/>
      <c r="M428" s="35"/>
      <c r="N428" s="35"/>
      <c r="O428" s="35"/>
      <c r="P428" s="35"/>
      <c r="Q428" s="35"/>
      <c r="R428" s="35"/>
      <c r="S428" s="35"/>
    </row>
    <row r="429" spans="1:19" x14ac:dyDescent="0.2">
      <c r="A429" s="7" t="s">
        <v>1902</v>
      </c>
      <c r="B429" s="7" t="s">
        <v>2068</v>
      </c>
      <c r="C429" s="7" t="s">
        <v>763</v>
      </c>
      <c r="D429" s="24" t="s">
        <v>756</v>
      </c>
      <c r="E429" s="7" t="s">
        <v>807</v>
      </c>
      <c r="F429" s="24" t="s">
        <v>2186</v>
      </c>
      <c r="G429" s="7" t="s">
        <v>3023</v>
      </c>
      <c r="H429" s="24" t="s">
        <v>3024</v>
      </c>
      <c r="I429" s="7"/>
      <c r="J429" s="8" t="s">
        <v>806</v>
      </c>
      <c r="K429" s="7" t="s">
        <v>17</v>
      </c>
      <c r="O429" s="7" t="s">
        <v>29</v>
      </c>
    </row>
    <row r="430" spans="1:19" x14ac:dyDescent="0.2">
      <c r="A430" s="25" t="s">
        <v>21</v>
      </c>
      <c r="B430" s="25" t="s">
        <v>3263</v>
      </c>
      <c r="C430" s="25"/>
      <c r="D430" s="26"/>
      <c r="E430" s="25"/>
      <c r="F430" s="26"/>
      <c r="G430" s="25"/>
      <c r="H430" s="26"/>
      <c r="I430" s="25"/>
      <c r="J430" s="25"/>
      <c r="K430" s="25"/>
      <c r="L430" s="25"/>
      <c r="M430" s="25" t="s">
        <v>2069</v>
      </c>
      <c r="N430" s="25"/>
      <c r="O430" s="25"/>
      <c r="P430" s="25"/>
      <c r="Q430" s="25"/>
      <c r="R430" s="25"/>
      <c r="S430" s="25"/>
    </row>
    <row r="431" spans="1:19" x14ac:dyDescent="0.2">
      <c r="A431" s="7"/>
      <c r="B431" s="7"/>
      <c r="C431" s="7"/>
      <c r="D431" s="24"/>
      <c r="I431" s="7"/>
      <c r="J431" s="7"/>
      <c r="K431" s="7"/>
    </row>
    <row r="432" spans="1:19" s="105" customFormat="1" ht="18.75" x14ac:dyDescent="0.25">
      <c r="A432" s="65" t="s">
        <v>16</v>
      </c>
      <c r="B432" s="65" t="s">
        <v>3259</v>
      </c>
      <c r="C432" s="65" t="s">
        <v>2185</v>
      </c>
      <c r="D432" s="64"/>
      <c r="E432" s="65" t="s">
        <v>252</v>
      </c>
      <c r="F432" s="64"/>
      <c r="G432" s="65" t="s">
        <v>1157</v>
      </c>
      <c r="H432" s="64"/>
      <c r="I432" s="65"/>
      <c r="J432" s="35"/>
      <c r="K432" s="35"/>
      <c r="L432" s="35"/>
      <c r="M432" s="35"/>
      <c r="N432" s="35"/>
      <c r="O432" s="35" t="s">
        <v>29</v>
      </c>
      <c r="P432" s="35"/>
      <c r="Q432" s="35"/>
      <c r="R432" s="35"/>
      <c r="S432" s="35"/>
    </row>
    <row r="433" spans="1:19" x14ac:dyDescent="0.2">
      <c r="A433" s="7" t="s">
        <v>1886</v>
      </c>
      <c r="B433" s="7" t="s">
        <v>1167</v>
      </c>
      <c r="C433" s="7" t="s">
        <v>2187</v>
      </c>
      <c r="D433" s="24"/>
      <c r="E433" s="7" t="s">
        <v>2188</v>
      </c>
      <c r="G433" s="7" t="s">
        <v>3025</v>
      </c>
      <c r="K433" s="7" t="s">
        <v>17</v>
      </c>
      <c r="R433" s="36"/>
    </row>
    <row r="434" spans="1:19" x14ac:dyDescent="0.2">
      <c r="A434" s="45" t="s">
        <v>2189</v>
      </c>
      <c r="B434" s="45" t="s">
        <v>2988</v>
      </c>
      <c r="C434" s="45" t="s">
        <v>2190</v>
      </c>
      <c r="D434" s="48"/>
      <c r="E434" s="45" t="s">
        <v>2191</v>
      </c>
      <c r="F434" s="48"/>
      <c r="G434" s="45" t="s">
        <v>2192</v>
      </c>
      <c r="H434" s="48"/>
      <c r="I434" s="46"/>
      <c r="J434" s="46"/>
      <c r="K434" s="45" t="s">
        <v>17</v>
      </c>
      <c r="L434" s="46"/>
      <c r="M434" s="46"/>
      <c r="N434" s="46"/>
      <c r="O434" s="46" t="s">
        <v>1159</v>
      </c>
      <c r="P434" s="46"/>
      <c r="Q434" s="46"/>
      <c r="R434" s="47" t="s">
        <v>1907</v>
      </c>
      <c r="S434" s="46"/>
    </row>
    <row r="435" spans="1:19" s="108" customFormat="1" ht="15.75" x14ac:dyDescent="0.2">
      <c r="A435" s="41" t="s">
        <v>55</v>
      </c>
      <c r="B435" s="41" t="s">
        <v>2194</v>
      </c>
      <c r="C435" s="41" t="s">
        <v>2193</v>
      </c>
      <c r="D435" s="77"/>
      <c r="E435" s="41" t="s">
        <v>306</v>
      </c>
      <c r="F435" s="77"/>
      <c r="G435" s="41" t="s">
        <v>3026</v>
      </c>
      <c r="H435" s="77"/>
      <c r="I435" s="41"/>
      <c r="J435" s="41"/>
      <c r="K435" s="41"/>
      <c r="L435" s="41" t="s">
        <v>2989</v>
      </c>
      <c r="M435" s="41"/>
      <c r="N435" s="41"/>
      <c r="O435" s="41" t="s">
        <v>1159</v>
      </c>
      <c r="P435" s="41"/>
      <c r="Q435" s="41"/>
      <c r="R435" s="41"/>
      <c r="S435" s="41"/>
    </row>
    <row r="436" spans="1:19" outlineLevel="1" x14ac:dyDescent="0.2">
      <c r="A436" s="25" t="s">
        <v>21</v>
      </c>
      <c r="B436" s="25" t="s">
        <v>2197</v>
      </c>
      <c r="C436" s="25"/>
      <c r="D436" s="26"/>
      <c r="E436" s="25"/>
      <c r="F436" s="26"/>
      <c r="G436" s="25"/>
      <c r="H436" s="26"/>
      <c r="I436" s="25"/>
      <c r="J436" s="25"/>
      <c r="K436" s="25"/>
      <c r="L436" s="25"/>
      <c r="M436" s="25" t="s">
        <v>548</v>
      </c>
      <c r="N436" s="25"/>
      <c r="O436" s="25"/>
      <c r="P436" s="25"/>
      <c r="Q436" s="25"/>
      <c r="R436" s="25"/>
      <c r="S436" s="25"/>
    </row>
    <row r="437" spans="1:19" outlineLevel="1" x14ac:dyDescent="0.2">
      <c r="A437" s="25" t="s">
        <v>21</v>
      </c>
      <c r="B437" s="25" t="s">
        <v>3110</v>
      </c>
      <c r="C437" s="25"/>
      <c r="D437" s="26"/>
      <c r="E437" s="25"/>
      <c r="F437" s="26"/>
      <c r="G437" s="25"/>
      <c r="H437" s="26"/>
      <c r="I437" s="25"/>
      <c r="J437" s="25"/>
      <c r="K437" s="25"/>
      <c r="L437" s="25"/>
      <c r="M437" s="25" t="s">
        <v>2990</v>
      </c>
      <c r="N437" s="25"/>
      <c r="O437" s="25"/>
      <c r="P437" s="25"/>
      <c r="Q437" s="25"/>
      <c r="R437" s="25"/>
      <c r="S437" s="25"/>
    </row>
    <row r="438" spans="1:19" outlineLevel="1" x14ac:dyDescent="0.2">
      <c r="A438" s="25" t="s">
        <v>21</v>
      </c>
      <c r="B438" s="25" t="s">
        <v>3112</v>
      </c>
      <c r="C438" s="25"/>
      <c r="D438" s="26"/>
      <c r="E438" s="25"/>
      <c r="F438" s="26"/>
      <c r="G438" s="25"/>
      <c r="H438" s="26"/>
      <c r="I438" s="25"/>
      <c r="J438" s="25"/>
      <c r="K438" s="25"/>
      <c r="L438" s="25"/>
      <c r="M438" s="25" t="s">
        <v>3111</v>
      </c>
      <c r="N438" s="25"/>
      <c r="O438" s="25"/>
      <c r="P438" s="25"/>
      <c r="Q438" s="25"/>
      <c r="R438" s="25"/>
      <c r="S438" s="25"/>
    </row>
    <row r="439" spans="1:19" outlineLevel="1" x14ac:dyDescent="0.2">
      <c r="A439" s="7"/>
      <c r="B439" s="7"/>
      <c r="M439" s="7"/>
    </row>
    <row r="440" spans="1:19" outlineLevel="1" x14ac:dyDescent="0.2">
      <c r="A440" s="7" t="s">
        <v>2200</v>
      </c>
      <c r="B440" s="7" t="s">
        <v>1168</v>
      </c>
      <c r="C440" s="7" t="s">
        <v>3113</v>
      </c>
      <c r="D440" s="24"/>
      <c r="E440" s="7" t="s">
        <v>3114</v>
      </c>
      <c r="G440" s="7" t="s">
        <v>3115</v>
      </c>
      <c r="J440" s="8" t="s">
        <v>3116</v>
      </c>
      <c r="K440" s="7" t="s">
        <v>17</v>
      </c>
      <c r="N440" s="8" t="s">
        <v>3117</v>
      </c>
      <c r="O440" s="39"/>
      <c r="P440" s="7"/>
    </row>
    <row r="441" spans="1:19" outlineLevel="1" x14ac:dyDescent="0.2">
      <c r="A441" s="7" t="s">
        <v>2202</v>
      </c>
      <c r="B441" s="7" t="s">
        <v>1169</v>
      </c>
      <c r="C441" s="7" t="s">
        <v>3118</v>
      </c>
      <c r="D441" s="24"/>
      <c r="E441" s="7" t="s">
        <v>3119</v>
      </c>
      <c r="G441" s="7" t="s">
        <v>3120</v>
      </c>
      <c r="K441" s="7" t="s">
        <v>17</v>
      </c>
      <c r="P441" s="7"/>
    </row>
    <row r="442" spans="1:19" outlineLevel="1" x14ac:dyDescent="0.2">
      <c r="A442" s="7" t="s">
        <v>2202</v>
      </c>
      <c r="B442" s="7" t="s">
        <v>1170</v>
      </c>
      <c r="C442" s="7" t="s">
        <v>3121</v>
      </c>
      <c r="D442" s="24"/>
      <c r="E442" s="7" t="s">
        <v>3122</v>
      </c>
      <c r="G442" s="7" t="s">
        <v>3123</v>
      </c>
      <c r="K442" s="7" t="s">
        <v>17</v>
      </c>
      <c r="P442" s="7"/>
    </row>
    <row r="443" spans="1:19" s="108" customFormat="1" ht="15.75" x14ac:dyDescent="0.2">
      <c r="A443" s="41" t="s">
        <v>56</v>
      </c>
      <c r="B443" s="41" t="s">
        <v>2194</v>
      </c>
      <c r="C443" s="41"/>
      <c r="D443" s="77"/>
      <c r="E443" s="41"/>
      <c r="F443" s="77"/>
      <c r="G443" s="41"/>
      <c r="H443" s="77"/>
      <c r="I443" s="41"/>
      <c r="J443" s="41"/>
      <c r="K443" s="41"/>
      <c r="L443" s="41"/>
      <c r="M443" s="41"/>
      <c r="N443" s="41"/>
      <c r="O443" s="41"/>
      <c r="P443" s="41"/>
      <c r="Q443" s="41"/>
      <c r="R443" s="41"/>
      <c r="S443" s="41"/>
    </row>
    <row r="444" spans="1:19" x14ac:dyDescent="0.2">
      <c r="A444" s="7" t="s">
        <v>1902</v>
      </c>
      <c r="B444" s="7" t="s">
        <v>2195</v>
      </c>
      <c r="C444" s="7" t="s">
        <v>764</v>
      </c>
      <c r="D444" s="24" t="s">
        <v>756</v>
      </c>
      <c r="E444" s="7" t="s">
        <v>808</v>
      </c>
      <c r="F444" s="24" t="s">
        <v>2186</v>
      </c>
      <c r="G444" s="7" t="s">
        <v>3027</v>
      </c>
      <c r="H444" s="24" t="s">
        <v>3024</v>
      </c>
      <c r="J444" s="8" t="s">
        <v>806</v>
      </c>
      <c r="K444" s="7" t="s">
        <v>17</v>
      </c>
      <c r="O444" s="7" t="s">
        <v>29</v>
      </c>
    </row>
    <row r="445" spans="1:19" x14ac:dyDescent="0.2">
      <c r="A445" s="25" t="s">
        <v>21</v>
      </c>
      <c r="B445" s="25" t="s">
        <v>3264</v>
      </c>
      <c r="C445" s="25"/>
      <c r="D445" s="26"/>
      <c r="E445" s="25"/>
      <c r="F445" s="26"/>
      <c r="G445" s="25"/>
      <c r="H445" s="26"/>
      <c r="I445" s="25"/>
      <c r="J445" s="25"/>
      <c r="K445" s="25"/>
      <c r="L445" s="25"/>
      <c r="M445" s="25" t="s">
        <v>2196</v>
      </c>
      <c r="N445" s="25"/>
      <c r="O445" s="25"/>
      <c r="P445" s="25"/>
      <c r="Q445" s="25"/>
      <c r="R445" s="25"/>
      <c r="S445" s="25"/>
    </row>
    <row r="446" spans="1:19" x14ac:dyDescent="0.2">
      <c r="A446" s="7"/>
      <c r="B446" s="7"/>
      <c r="C446" s="7"/>
      <c r="D446" s="24"/>
      <c r="I446" s="7"/>
      <c r="J446" s="7"/>
      <c r="K446" s="7"/>
    </row>
    <row r="447" spans="1:19" x14ac:dyDescent="0.2">
      <c r="A447" s="7" t="s">
        <v>1886</v>
      </c>
      <c r="B447" s="7" t="s">
        <v>1171</v>
      </c>
      <c r="C447" s="7" t="s">
        <v>2203</v>
      </c>
      <c r="D447" s="24"/>
      <c r="E447" s="7" t="s">
        <v>2204</v>
      </c>
      <c r="G447" s="7" t="s">
        <v>3028</v>
      </c>
      <c r="K447" s="7" t="s">
        <v>17</v>
      </c>
    </row>
    <row r="448" spans="1:19" x14ac:dyDescent="0.2">
      <c r="A448" s="45" t="s">
        <v>2189</v>
      </c>
      <c r="B448" s="45" t="s">
        <v>2991</v>
      </c>
      <c r="C448" s="45" t="s">
        <v>2205</v>
      </c>
      <c r="D448" s="48"/>
      <c r="E448" s="45" t="s">
        <v>2206</v>
      </c>
      <c r="F448" s="48"/>
      <c r="G448" s="45" t="s">
        <v>2207</v>
      </c>
      <c r="H448" s="48"/>
      <c r="I448" s="46"/>
      <c r="J448" s="46"/>
      <c r="K448" s="45" t="s">
        <v>17</v>
      </c>
      <c r="L448" s="46"/>
      <c r="M448" s="46"/>
      <c r="N448" s="46"/>
      <c r="O448" s="45" t="s">
        <v>1160</v>
      </c>
      <c r="P448" s="46"/>
      <c r="Q448" s="46"/>
      <c r="R448" s="47" t="s">
        <v>1907</v>
      </c>
      <c r="S448" s="46"/>
    </row>
    <row r="449" spans="1:19" s="108" customFormat="1" ht="15.75" x14ac:dyDescent="0.2">
      <c r="A449" s="41" t="s">
        <v>55</v>
      </c>
      <c r="B449" s="41" t="s">
        <v>57</v>
      </c>
      <c r="C449" s="41" t="s">
        <v>58</v>
      </c>
      <c r="D449" s="77"/>
      <c r="E449" s="41" t="s">
        <v>253</v>
      </c>
      <c r="F449" s="77"/>
      <c r="G449" s="41" t="s">
        <v>3029</v>
      </c>
      <c r="H449" s="77"/>
      <c r="I449" s="41"/>
      <c r="J449" s="41"/>
      <c r="K449" s="41"/>
      <c r="L449" s="41" t="s">
        <v>2992</v>
      </c>
      <c r="M449" s="41"/>
      <c r="N449" s="41"/>
      <c r="O449" s="45" t="s">
        <v>1160</v>
      </c>
      <c r="P449" s="41"/>
      <c r="Q449" s="41"/>
      <c r="R449" s="41"/>
      <c r="S449" s="41"/>
    </row>
    <row r="450" spans="1:19" outlineLevel="1" x14ac:dyDescent="0.2">
      <c r="A450" s="25" t="s">
        <v>21</v>
      </c>
      <c r="B450" s="25" t="s">
        <v>3124</v>
      </c>
      <c r="C450" s="25"/>
      <c r="D450" s="26"/>
      <c r="E450" s="25"/>
      <c r="F450" s="26"/>
      <c r="G450" s="25"/>
      <c r="H450" s="26"/>
      <c r="I450" s="25"/>
      <c r="J450" s="25"/>
      <c r="K450" s="25"/>
      <c r="L450" s="25"/>
      <c r="M450" s="25" t="s">
        <v>548</v>
      </c>
      <c r="N450" s="25"/>
      <c r="O450" s="25"/>
      <c r="P450" s="25"/>
      <c r="Q450" s="25"/>
      <c r="R450" s="25"/>
      <c r="S450" s="25"/>
    </row>
    <row r="451" spans="1:19" outlineLevel="1" x14ac:dyDescent="0.2">
      <c r="A451" s="25" t="s">
        <v>21</v>
      </c>
      <c r="B451" s="25" t="s">
        <v>3125</v>
      </c>
      <c r="C451" s="25"/>
      <c r="D451" s="26"/>
      <c r="E451" s="25"/>
      <c r="F451" s="26"/>
      <c r="G451" s="25"/>
      <c r="H451" s="26"/>
      <c r="I451" s="25"/>
      <c r="J451" s="25"/>
      <c r="K451" s="25"/>
      <c r="L451" s="25"/>
      <c r="M451" s="25" t="s">
        <v>2993</v>
      </c>
      <c r="N451" s="25"/>
      <c r="O451" s="25"/>
      <c r="P451" s="25"/>
      <c r="Q451" s="25"/>
      <c r="R451" s="25"/>
      <c r="S451" s="25"/>
    </row>
    <row r="452" spans="1:19" outlineLevel="1" x14ac:dyDescent="0.2">
      <c r="A452" s="25" t="s">
        <v>21</v>
      </c>
      <c r="B452" s="25" t="s">
        <v>3128</v>
      </c>
      <c r="C452" s="25"/>
      <c r="D452" s="26"/>
      <c r="E452" s="25"/>
      <c r="F452" s="26"/>
      <c r="G452" s="25"/>
      <c r="H452" s="26"/>
      <c r="I452" s="25"/>
      <c r="J452" s="25"/>
      <c r="K452" s="25"/>
      <c r="L452" s="25"/>
      <c r="M452" s="25" t="s">
        <v>3126</v>
      </c>
      <c r="N452" s="25"/>
      <c r="O452" s="25"/>
      <c r="P452" s="25"/>
      <c r="Q452" s="25"/>
      <c r="R452" s="25"/>
      <c r="S452" s="25"/>
    </row>
    <row r="453" spans="1:19" outlineLevel="1" x14ac:dyDescent="0.2">
      <c r="A453" s="7"/>
      <c r="B453" s="7"/>
      <c r="M453" s="7"/>
    </row>
    <row r="454" spans="1:19" outlineLevel="1" x14ac:dyDescent="0.2">
      <c r="A454" s="7" t="s">
        <v>2209</v>
      </c>
      <c r="B454" s="7" t="s">
        <v>1172</v>
      </c>
      <c r="C454" s="7" t="s">
        <v>3127</v>
      </c>
      <c r="D454" s="24"/>
      <c r="E454" s="7" t="s">
        <v>3129</v>
      </c>
      <c r="G454" s="7" t="s">
        <v>3130</v>
      </c>
      <c r="J454" s="8" t="s">
        <v>3131</v>
      </c>
      <c r="K454" s="7" t="s">
        <v>17</v>
      </c>
      <c r="N454" s="8" t="s">
        <v>3132</v>
      </c>
      <c r="O454" s="7" t="s">
        <v>1160</v>
      </c>
    </row>
    <row r="455" spans="1:19" outlineLevel="1" x14ac:dyDescent="0.2">
      <c r="A455" s="7" t="s">
        <v>2210</v>
      </c>
      <c r="B455" s="7" t="s">
        <v>1173</v>
      </c>
      <c r="C455" s="7" t="s">
        <v>3133</v>
      </c>
      <c r="D455" s="24"/>
      <c r="E455" s="7" t="s">
        <v>3134</v>
      </c>
      <c r="G455" s="7" t="s">
        <v>3135</v>
      </c>
      <c r="K455" s="7" t="s">
        <v>17</v>
      </c>
      <c r="O455" s="7" t="s">
        <v>1160</v>
      </c>
    </row>
    <row r="456" spans="1:19" ht="15.75" x14ac:dyDescent="0.2">
      <c r="A456" s="41" t="s">
        <v>56</v>
      </c>
      <c r="B456" s="41" t="s">
        <v>57</v>
      </c>
      <c r="C456" s="41"/>
      <c r="D456" s="77"/>
      <c r="E456" s="41"/>
      <c r="F456" s="77"/>
      <c r="G456" s="41"/>
      <c r="H456" s="77"/>
      <c r="I456" s="41"/>
      <c r="J456" s="41"/>
      <c r="K456" s="41"/>
      <c r="L456" s="41"/>
      <c r="M456" s="41"/>
      <c r="N456" s="41"/>
      <c r="O456" s="41"/>
      <c r="P456" s="41"/>
      <c r="Q456" s="41"/>
      <c r="R456" s="41"/>
      <c r="S456" s="41"/>
    </row>
    <row r="457" spans="1:19" x14ac:dyDescent="0.2">
      <c r="A457" s="7" t="s">
        <v>1902</v>
      </c>
      <c r="B457" s="7" t="s">
        <v>757</v>
      </c>
      <c r="C457" s="7" t="s">
        <v>765</v>
      </c>
      <c r="D457" s="24" t="s">
        <v>756</v>
      </c>
      <c r="E457" s="7" t="s">
        <v>809</v>
      </c>
      <c r="F457" s="24" t="s">
        <v>2186</v>
      </c>
      <c r="G457" s="7" t="s">
        <v>3030</v>
      </c>
      <c r="H457" s="24" t="s">
        <v>3024</v>
      </c>
      <c r="J457" s="8" t="s">
        <v>806</v>
      </c>
      <c r="K457" s="7" t="s">
        <v>17</v>
      </c>
      <c r="O457" s="7" t="s">
        <v>29</v>
      </c>
    </row>
    <row r="458" spans="1:19" x14ac:dyDescent="0.2">
      <c r="A458" s="25" t="s">
        <v>21</v>
      </c>
      <c r="B458" s="25" t="s">
        <v>3265</v>
      </c>
      <c r="C458" s="25"/>
      <c r="D458" s="26"/>
      <c r="E458" s="25"/>
      <c r="F458" s="26"/>
      <c r="G458" s="25"/>
      <c r="H458" s="26"/>
      <c r="I458" s="25"/>
      <c r="J458" s="25"/>
      <c r="K458" s="25"/>
      <c r="L458" s="25"/>
      <c r="M458" s="25" t="s">
        <v>758</v>
      </c>
      <c r="N458" s="25"/>
      <c r="O458" s="25"/>
      <c r="P458" s="25"/>
      <c r="Q458" s="25"/>
      <c r="R458" s="25"/>
      <c r="S458" s="25"/>
    </row>
    <row r="459" spans="1:19" x14ac:dyDescent="0.2">
      <c r="A459" s="7"/>
      <c r="B459" s="7"/>
      <c r="C459" s="7"/>
      <c r="D459" s="24"/>
      <c r="I459" s="7"/>
      <c r="J459" s="7"/>
      <c r="K459" s="7"/>
    </row>
    <row r="460" spans="1:19" x14ac:dyDescent="0.2">
      <c r="A460" s="7" t="s">
        <v>1886</v>
      </c>
      <c r="B460" s="7" t="s">
        <v>1174</v>
      </c>
      <c r="C460" s="7" t="s">
        <v>2212</v>
      </c>
      <c r="D460" s="24"/>
      <c r="E460" s="7" t="s">
        <v>2213</v>
      </c>
      <c r="G460" s="7" t="s">
        <v>2214</v>
      </c>
      <c r="K460" s="7" t="s">
        <v>17</v>
      </c>
      <c r="O460" s="7"/>
    </row>
    <row r="461" spans="1:19" x14ac:dyDescent="0.2">
      <c r="A461" s="45" t="s">
        <v>2189</v>
      </c>
      <c r="B461" s="45" t="s">
        <v>2994</v>
      </c>
      <c r="C461" s="45" t="s">
        <v>2215</v>
      </c>
      <c r="D461" s="48"/>
      <c r="E461" s="45" t="s">
        <v>2216</v>
      </c>
      <c r="F461" s="48"/>
      <c r="G461" s="45" t="s">
        <v>2217</v>
      </c>
      <c r="H461" s="48"/>
      <c r="I461" s="46"/>
      <c r="J461" s="88"/>
      <c r="K461" s="45" t="s">
        <v>17</v>
      </c>
      <c r="L461" s="46"/>
      <c r="M461" s="46"/>
      <c r="N461" s="46"/>
      <c r="O461" s="46" t="s">
        <v>1161</v>
      </c>
      <c r="P461" s="46"/>
      <c r="Q461" s="46"/>
      <c r="R461" s="47" t="s">
        <v>1907</v>
      </c>
      <c r="S461" s="46"/>
    </row>
    <row r="462" spans="1:19" ht="15.75" x14ac:dyDescent="0.2">
      <c r="A462" s="41" t="s">
        <v>55</v>
      </c>
      <c r="B462" s="41" t="s">
        <v>2809</v>
      </c>
      <c r="C462" s="41" t="s">
        <v>59</v>
      </c>
      <c r="D462" s="77"/>
      <c r="E462" s="41" t="s">
        <v>492</v>
      </c>
      <c r="F462" s="77"/>
      <c r="G462" s="41" t="s">
        <v>492</v>
      </c>
      <c r="H462" s="77"/>
      <c r="I462" s="41"/>
      <c r="J462" s="41"/>
      <c r="K462" s="41"/>
      <c r="L462" s="41" t="s">
        <v>2995</v>
      </c>
      <c r="M462" s="41"/>
      <c r="N462" s="41"/>
      <c r="O462" s="41" t="s">
        <v>1161</v>
      </c>
      <c r="P462" s="41"/>
      <c r="Q462" s="41"/>
      <c r="R462" s="41"/>
      <c r="S462" s="41"/>
    </row>
    <row r="463" spans="1:19" outlineLevel="1" x14ac:dyDescent="0.2">
      <c r="A463" s="25" t="s">
        <v>21</v>
      </c>
      <c r="B463" s="25" t="s">
        <v>3136</v>
      </c>
      <c r="C463" s="25"/>
      <c r="D463" s="26"/>
      <c r="E463" s="25"/>
      <c r="F463" s="26"/>
      <c r="G463" s="25"/>
      <c r="H463" s="26"/>
      <c r="I463" s="25"/>
      <c r="J463" s="25"/>
      <c r="K463" s="25"/>
      <c r="L463" s="25"/>
      <c r="M463" s="25" t="s">
        <v>548</v>
      </c>
      <c r="N463" s="25"/>
      <c r="O463" s="25"/>
      <c r="P463" s="25"/>
      <c r="Q463" s="25"/>
      <c r="R463" s="25"/>
      <c r="S463" s="25"/>
    </row>
    <row r="464" spans="1:19" outlineLevel="1" x14ac:dyDescent="0.2">
      <c r="A464" s="25" t="s">
        <v>21</v>
      </c>
      <c r="B464" s="25" t="s">
        <v>3167</v>
      </c>
      <c r="C464" s="25"/>
      <c r="D464" s="26"/>
      <c r="E464" s="25"/>
      <c r="F464" s="26"/>
      <c r="G464" s="25"/>
      <c r="H464" s="26"/>
      <c r="I464" s="25"/>
      <c r="J464" s="25"/>
      <c r="K464" s="25"/>
      <c r="L464" s="25"/>
      <c r="M464" s="25" t="s">
        <v>2996</v>
      </c>
      <c r="N464" s="25"/>
      <c r="O464" s="25"/>
      <c r="P464" s="25"/>
      <c r="Q464" s="25"/>
      <c r="R464" s="25"/>
      <c r="S464" s="25"/>
    </row>
    <row r="465" spans="1:19" outlineLevel="1" x14ac:dyDescent="0.2">
      <c r="A465" s="25" t="s">
        <v>21</v>
      </c>
      <c r="B465" s="25" t="s">
        <v>3137</v>
      </c>
      <c r="C465" s="25"/>
      <c r="D465" s="26"/>
      <c r="E465" s="25"/>
      <c r="F465" s="26"/>
      <c r="G465" s="25"/>
      <c r="H465" s="26"/>
      <c r="I465" s="25"/>
      <c r="J465" s="25"/>
      <c r="K465" s="25"/>
      <c r="L465" s="25"/>
      <c r="M465" s="25" t="s">
        <v>3168</v>
      </c>
      <c r="N465" s="25"/>
      <c r="O465" s="25"/>
      <c r="P465" s="25"/>
      <c r="Q465" s="25"/>
      <c r="R465" s="25"/>
      <c r="S465" s="25"/>
    </row>
    <row r="466" spans="1:19" outlineLevel="1" x14ac:dyDescent="0.2">
      <c r="A466" s="7"/>
      <c r="B466" s="7"/>
      <c r="M466" s="7"/>
    </row>
    <row r="467" spans="1:19" outlineLevel="1" x14ac:dyDescent="0.2">
      <c r="A467" s="7" t="s">
        <v>2246</v>
      </c>
      <c r="B467" s="7" t="s">
        <v>1175</v>
      </c>
      <c r="C467" s="7" t="s">
        <v>3138</v>
      </c>
      <c r="D467" s="24"/>
      <c r="E467" s="7" t="s">
        <v>3139</v>
      </c>
      <c r="G467" s="7" t="s">
        <v>3140</v>
      </c>
      <c r="J467" s="8" t="s">
        <v>3141</v>
      </c>
      <c r="K467" s="7" t="s">
        <v>17</v>
      </c>
      <c r="N467" s="8" t="s">
        <v>3142</v>
      </c>
      <c r="O467" s="7"/>
    </row>
    <row r="468" spans="1:19" outlineLevel="1" x14ac:dyDescent="0.2">
      <c r="A468" s="7" t="s">
        <v>2292</v>
      </c>
      <c r="B468" s="7" t="s">
        <v>1176</v>
      </c>
      <c r="C468" s="7" t="s">
        <v>2293</v>
      </c>
      <c r="D468" s="24"/>
      <c r="E468" s="7" t="s">
        <v>2294</v>
      </c>
      <c r="G468" s="7" t="s">
        <v>2295</v>
      </c>
      <c r="K468" s="7" t="s">
        <v>17</v>
      </c>
      <c r="O468" s="7"/>
    </row>
    <row r="469" spans="1:19" outlineLevel="1" x14ac:dyDescent="0.2">
      <c r="A469" s="7" t="s">
        <v>2209</v>
      </c>
      <c r="B469" s="7" t="s">
        <v>1177</v>
      </c>
      <c r="C469" s="7" t="s">
        <v>3143</v>
      </c>
      <c r="D469" s="24"/>
      <c r="E469" s="7" t="s">
        <v>3144</v>
      </c>
      <c r="G469" s="7" t="s">
        <v>3145</v>
      </c>
      <c r="K469" s="7" t="s">
        <v>17</v>
      </c>
      <c r="O469" s="7"/>
    </row>
    <row r="470" spans="1:19" outlineLevel="1" x14ac:dyDescent="0.2">
      <c r="A470" s="7" t="s">
        <v>2202</v>
      </c>
      <c r="B470" s="7" t="s">
        <v>1178</v>
      </c>
      <c r="C470" s="7" t="s">
        <v>3146</v>
      </c>
      <c r="D470" s="24"/>
      <c r="E470" s="7" t="s">
        <v>3147</v>
      </c>
      <c r="G470" s="7" t="s">
        <v>3148</v>
      </c>
      <c r="K470" s="7" t="s">
        <v>17</v>
      </c>
      <c r="O470" s="7"/>
    </row>
    <row r="471" spans="1:19" outlineLevel="1" x14ac:dyDescent="0.2">
      <c r="A471" s="7" t="s">
        <v>2202</v>
      </c>
      <c r="B471" s="7" t="s">
        <v>1179</v>
      </c>
      <c r="C471" s="7" t="s">
        <v>3149</v>
      </c>
      <c r="D471" s="24"/>
      <c r="E471" s="7" t="s">
        <v>3150</v>
      </c>
      <c r="G471" s="7" t="s">
        <v>3151</v>
      </c>
      <c r="K471" s="7" t="s">
        <v>17</v>
      </c>
      <c r="O471" s="7"/>
    </row>
    <row r="472" spans="1:19" outlineLevel="1" x14ac:dyDescent="0.2">
      <c r="A472" s="7" t="s">
        <v>2202</v>
      </c>
      <c r="B472" s="7" t="s">
        <v>1180</v>
      </c>
      <c r="C472" s="7" t="s">
        <v>3152</v>
      </c>
      <c r="D472" s="24"/>
      <c r="E472" s="7" t="s">
        <v>3153</v>
      </c>
      <c r="G472" s="7" t="s">
        <v>3154</v>
      </c>
      <c r="K472" s="7" t="s">
        <v>17</v>
      </c>
      <c r="O472" s="7"/>
    </row>
    <row r="473" spans="1:19" outlineLevel="1" x14ac:dyDescent="0.2">
      <c r="A473" s="7" t="s">
        <v>2202</v>
      </c>
      <c r="B473" s="7" t="s">
        <v>1181</v>
      </c>
      <c r="C473" s="7" t="s">
        <v>3155</v>
      </c>
      <c r="D473" s="24"/>
      <c r="E473" s="7" t="s">
        <v>3156</v>
      </c>
      <c r="G473" s="7" t="s">
        <v>3157</v>
      </c>
      <c r="K473" s="7" t="s">
        <v>17</v>
      </c>
      <c r="O473" s="7"/>
    </row>
    <row r="474" spans="1:19" outlineLevel="1" x14ac:dyDescent="0.2">
      <c r="A474" s="7" t="s">
        <v>1886</v>
      </c>
      <c r="B474" s="7" t="s">
        <v>1182</v>
      </c>
      <c r="C474" s="7" t="s">
        <v>3158</v>
      </c>
      <c r="D474" s="24"/>
      <c r="E474" s="7" t="s">
        <v>3159</v>
      </c>
      <c r="G474" s="7" t="s">
        <v>3160</v>
      </c>
      <c r="K474" s="7" t="s">
        <v>17</v>
      </c>
      <c r="O474" s="7"/>
    </row>
    <row r="475" spans="1:19" ht="27" customHeight="1" outlineLevel="1" x14ac:dyDescent="0.2">
      <c r="A475" s="7" t="s">
        <v>2307</v>
      </c>
      <c r="B475" s="7" t="s">
        <v>1184</v>
      </c>
      <c r="C475" s="7" t="s">
        <v>2308</v>
      </c>
      <c r="D475" s="24"/>
      <c r="E475" s="7" t="s">
        <v>2309</v>
      </c>
      <c r="G475" s="7" t="s">
        <v>2310</v>
      </c>
      <c r="K475" s="7" t="s">
        <v>17</v>
      </c>
      <c r="O475" s="7" t="s">
        <v>1162</v>
      </c>
    </row>
    <row r="476" spans="1:19" outlineLevel="1" x14ac:dyDescent="0.2">
      <c r="A476" s="7" t="s">
        <v>26</v>
      </c>
      <c r="B476" s="7" t="s">
        <v>2318</v>
      </c>
      <c r="C476" s="7" t="s">
        <v>320</v>
      </c>
      <c r="D476" s="24"/>
      <c r="E476" s="7" t="s">
        <v>61</v>
      </c>
      <c r="G476" s="7" t="s">
        <v>1158</v>
      </c>
      <c r="I476" s="63"/>
      <c r="J476" s="7"/>
      <c r="K476" s="7" t="s">
        <v>17</v>
      </c>
      <c r="O476" s="7" t="s">
        <v>1163</v>
      </c>
    </row>
    <row r="477" spans="1:19" outlineLevel="1" x14ac:dyDescent="0.2">
      <c r="A477" s="7" t="s">
        <v>28</v>
      </c>
      <c r="B477" s="7" t="s">
        <v>1183</v>
      </c>
      <c r="C477" s="7" t="s">
        <v>3161</v>
      </c>
      <c r="D477" s="24" t="s">
        <v>2319</v>
      </c>
      <c r="E477" s="7" t="s">
        <v>3162</v>
      </c>
      <c r="F477" s="24" t="s">
        <v>491</v>
      </c>
      <c r="G477" s="7" t="s">
        <v>3163</v>
      </c>
      <c r="H477" s="24" t="s">
        <v>3031</v>
      </c>
      <c r="J477" s="13"/>
      <c r="K477" s="7" t="s">
        <v>17</v>
      </c>
      <c r="O477" s="7" t="s">
        <v>1162</v>
      </c>
      <c r="P477" s="8" t="s">
        <v>605</v>
      </c>
    </row>
    <row r="478" spans="1:19" outlineLevel="1" x14ac:dyDescent="0.2">
      <c r="A478" s="7" t="s">
        <v>2323</v>
      </c>
      <c r="B478" s="7" t="s">
        <v>1185</v>
      </c>
      <c r="C478" s="7" t="s">
        <v>2320</v>
      </c>
      <c r="D478" s="24"/>
      <c r="E478" s="7" t="s">
        <v>2321</v>
      </c>
      <c r="G478" s="7" t="s">
        <v>2322</v>
      </c>
      <c r="K478" s="7" t="s">
        <v>17</v>
      </c>
      <c r="O478" s="7" t="s">
        <v>1162</v>
      </c>
    </row>
    <row r="479" spans="1:19" outlineLevel="1" x14ac:dyDescent="0.2">
      <c r="A479" s="7" t="s">
        <v>2328</v>
      </c>
      <c r="B479" s="7" t="s">
        <v>1186</v>
      </c>
      <c r="C479" s="7" t="s">
        <v>2325</v>
      </c>
      <c r="D479" s="24"/>
      <c r="E479" s="7" t="s">
        <v>2326</v>
      </c>
      <c r="G479" s="7" t="s">
        <v>2327</v>
      </c>
      <c r="K479" s="7" t="s">
        <v>17</v>
      </c>
      <c r="O479" s="7" t="s">
        <v>1162</v>
      </c>
    </row>
    <row r="480" spans="1:19" outlineLevel="1" x14ac:dyDescent="0.2">
      <c r="A480" s="7" t="s">
        <v>26</v>
      </c>
      <c r="B480" s="7" t="s">
        <v>2350</v>
      </c>
      <c r="C480" s="7" t="s">
        <v>320</v>
      </c>
      <c r="D480" s="24"/>
      <c r="E480" s="7" t="s">
        <v>61</v>
      </c>
      <c r="G480" s="7" t="s">
        <v>1158</v>
      </c>
      <c r="I480" s="63"/>
      <c r="J480" s="7"/>
      <c r="K480" s="7" t="s">
        <v>17</v>
      </c>
      <c r="O480" s="7" t="s">
        <v>1164</v>
      </c>
    </row>
    <row r="481" spans="1:19" outlineLevel="1" x14ac:dyDescent="0.2">
      <c r="A481" s="7" t="s">
        <v>1886</v>
      </c>
      <c r="B481" s="7" t="s">
        <v>1187</v>
      </c>
      <c r="C481" s="7" t="s">
        <v>3164</v>
      </c>
      <c r="D481" s="24"/>
      <c r="E481" s="7" t="s">
        <v>3165</v>
      </c>
      <c r="G481" s="7" t="s">
        <v>3166</v>
      </c>
      <c r="K481" s="7" t="s">
        <v>17</v>
      </c>
      <c r="O481" s="7"/>
    </row>
    <row r="482" spans="1:19" ht="15.75" x14ac:dyDescent="0.2">
      <c r="A482" s="41" t="s">
        <v>56</v>
      </c>
      <c r="B482" s="41"/>
      <c r="C482" s="41"/>
      <c r="D482" s="77"/>
      <c r="E482" s="41"/>
      <c r="F482" s="77"/>
      <c r="G482" s="41"/>
      <c r="H482" s="77"/>
      <c r="I482" s="41"/>
      <c r="J482" s="41"/>
      <c r="K482" s="41"/>
      <c r="L482" s="41"/>
      <c r="M482" s="41"/>
      <c r="N482" s="41"/>
      <c r="O482" s="41"/>
      <c r="P482" s="41"/>
      <c r="Q482" s="41"/>
      <c r="R482" s="41"/>
      <c r="S482" s="41"/>
    </row>
    <row r="483" spans="1:19" x14ac:dyDescent="0.2">
      <c r="A483" s="7" t="s">
        <v>1902</v>
      </c>
      <c r="B483" s="7" t="s">
        <v>2810</v>
      </c>
      <c r="C483" s="7" t="s">
        <v>766</v>
      </c>
      <c r="D483" s="24" t="s">
        <v>756</v>
      </c>
      <c r="E483" s="7" t="s">
        <v>810</v>
      </c>
      <c r="F483" s="24" t="s">
        <v>2186</v>
      </c>
      <c r="G483" s="7" t="s">
        <v>3032</v>
      </c>
      <c r="H483" s="24" t="s">
        <v>3024</v>
      </c>
      <c r="J483" s="8" t="s">
        <v>806</v>
      </c>
      <c r="K483" s="7" t="s">
        <v>17</v>
      </c>
      <c r="O483" s="7" t="s">
        <v>29</v>
      </c>
    </row>
    <row r="484" spans="1:19" x14ac:dyDescent="0.2">
      <c r="A484" s="25" t="s">
        <v>21</v>
      </c>
      <c r="B484" s="25" t="s">
        <v>3266</v>
      </c>
      <c r="C484" s="25"/>
      <c r="D484" s="26"/>
      <c r="E484" s="25"/>
      <c r="F484" s="26"/>
      <c r="G484" s="25"/>
      <c r="H484" s="26"/>
      <c r="I484" s="25"/>
      <c r="J484" s="25"/>
      <c r="K484" s="25"/>
      <c r="L484" s="25"/>
      <c r="M484" s="25" t="s">
        <v>2811</v>
      </c>
      <c r="N484" s="25"/>
      <c r="O484" s="25"/>
      <c r="P484" s="25"/>
      <c r="Q484" s="25"/>
      <c r="R484" s="25"/>
      <c r="S484" s="25"/>
    </row>
    <row r="485" spans="1:19" x14ac:dyDescent="0.2">
      <c r="A485" s="7" t="s">
        <v>1886</v>
      </c>
      <c r="B485" s="7" t="s">
        <v>1188</v>
      </c>
      <c r="C485" s="7" t="s">
        <v>2351</v>
      </c>
      <c r="D485" s="24"/>
      <c r="E485" s="7" t="s">
        <v>2352</v>
      </c>
      <c r="G485" s="7" t="s">
        <v>2353</v>
      </c>
      <c r="I485" s="7"/>
      <c r="J485" s="7"/>
      <c r="K485" s="7" t="s">
        <v>17</v>
      </c>
    </row>
    <row r="486" spans="1:19" ht="23.25" customHeight="1" x14ac:dyDescent="0.2">
      <c r="A486" s="7" t="s">
        <v>2307</v>
      </c>
      <c r="B486" s="7" t="s">
        <v>1189</v>
      </c>
      <c r="C486" s="7" t="s">
        <v>2308</v>
      </c>
      <c r="D486" s="24"/>
      <c r="E486" s="7" t="s">
        <v>2309</v>
      </c>
      <c r="G486" s="7" t="s">
        <v>2354</v>
      </c>
      <c r="I486" s="7"/>
      <c r="J486" s="7"/>
      <c r="K486" s="7" t="s">
        <v>17</v>
      </c>
      <c r="O486" s="7" t="s">
        <v>1165</v>
      </c>
    </row>
    <row r="487" spans="1:19" x14ac:dyDescent="0.2">
      <c r="A487" s="7" t="s">
        <v>26</v>
      </c>
      <c r="B487" s="7" t="s">
        <v>2355</v>
      </c>
      <c r="C487" s="7" t="s">
        <v>320</v>
      </c>
      <c r="D487" s="24"/>
      <c r="E487" s="7" t="s">
        <v>61</v>
      </c>
      <c r="G487" s="7" t="s">
        <v>1158</v>
      </c>
      <c r="I487" s="63"/>
      <c r="J487" s="7"/>
      <c r="K487" s="7" t="s">
        <v>17</v>
      </c>
      <c r="O487" s="7" t="s">
        <v>1166</v>
      </c>
    </row>
    <row r="488" spans="1:19" x14ac:dyDescent="0.2">
      <c r="A488" s="7" t="s">
        <v>28</v>
      </c>
      <c r="B488" s="7" t="s">
        <v>1190</v>
      </c>
      <c r="C488" s="7" t="s">
        <v>2356</v>
      </c>
      <c r="D488" s="24" t="s">
        <v>2319</v>
      </c>
      <c r="E488" s="7" t="s">
        <v>2357</v>
      </c>
      <c r="F488" s="24" t="s">
        <v>491</v>
      </c>
      <c r="G488" s="7" t="s">
        <v>3033</v>
      </c>
      <c r="H488" s="24" t="s">
        <v>3034</v>
      </c>
      <c r="I488" s="7"/>
      <c r="J488" s="7"/>
      <c r="K488" s="7" t="s">
        <v>17</v>
      </c>
      <c r="O488" s="7" t="s">
        <v>1165</v>
      </c>
      <c r="P488" s="8" t="s">
        <v>605</v>
      </c>
    </row>
    <row r="489" spans="1:19" x14ac:dyDescent="0.2">
      <c r="C489" s="7"/>
    </row>
    <row r="490" spans="1:19" ht="18.75" x14ac:dyDescent="0.2">
      <c r="A490" s="65" t="s">
        <v>48</v>
      </c>
      <c r="B490" s="65" t="s">
        <v>3259</v>
      </c>
      <c r="C490" s="35"/>
      <c r="D490" s="83"/>
      <c r="E490" s="65"/>
      <c r="F490" s="64"/>
      <c r="G490" s="65"/>
      <c r="H490" s="64"/>
      <c r="I490" s="35"/>
      <c r="J490" s="35"/>
      <c r="K490" s="35"/>
      <c r="L490" s="35"/>
      <c r="M490" s="35"/>
      <c r="N490" s="35"/>
      <c r="O490" s="35"/>
      <c r="P490" s="35"/>
      <c r="Q490" s="35"/>
      <c r="R490" s="35"/>
      <c r="S490" s="35"/>
    </row>
    <row r="491" spans="1:19" x14ac:dyDescent="0.2">
      <c r="A491" s="7" t="s">
        <v>1902</v>
      </c>
      <c r="B491" s="7" t="s">
        <v>767</v>
      </c>
      <c r="C491" s="7" t="s">
        <v>768</v>
      </c>
      <c r="D491" s="24" t="s">
        <v>756</v>
      </c>
      <c r="E491" s="7" t="s">
        <v>811</v>
      </c>
      <c r="F491" s="24" t="s">
        <v>2186</v>
      </c>
      <c r="G491" s="7" t="s">
        <v>1874</v>
      </c>
      <c r="H491" s="24" t="s">
        <v>3024</v>
      </c>
      <c r="J491" s="8" t="s">
        <v>806</v>
      </c>
      <c r="K491" s="7" t="s">
        <v>17</v>
      </c>
      <c r="O491" s="7" t="s">
        <v>29</v>
      </c>
    </row>
    <row r="492" spans="1:19" x14ac:dyDescent="0.2">
      <c r="A492" s="25" t="s">
        <v>21</v>
      </c>
      <c r="B492" s="25" t="s">
        <v>3267</v>
      </c>
      <c r="C492" s="25"/>
      <c r="D492" s="26"/>
      <c r="E492" s="25"/>
      <c r="F492" s="26"/>
      <c r="G492" s="25"/>
      <c r="H492" s="26"/>
      <c r="I492" s="25"/>
      <c r="J492" s="25"/>
      <c r="K492" s="25"/>
      <c r="L492" s="25"/>
      <c r="M492" s="25" t="s">
        <v>769</v>
      </c>
      <c r="N492" s="25"/>
      <c r="O492" s="25"/>
      <c r="P492" s="25"/>
      <c r="Q492" s="25"/>
      <c r="R492" s="25"/>
      <c r="S492" s="25"/>
    </row>
    <row r="493" spans="1:19" x14ac:dyDescent="0.2">
      <c r="A493" s="7"/>
      <c r="B493" s="7"/>
      <c r="C493" s="7"/>
      <c r="D493" s="24"/>
      <c r="I493" s="7"/>
      <c r="J493" s="7"/>
      <c r="K493" s="7"/>
    </row>
    <row r="494" spans="1:19" s="105" customFormat="1" ht="48.75" customHeight="1" x14ac:dyDescent="0.25">
      <c r="A494" s="65" t="s">
        <v>16</v>
      </c>
      <c r="B494" s="65" t="s">
        <v>2812</v>
      </c>
      <c r="C494" s="65" t="s">
        <v>2358</v>
      </c>
      <c r="D494" s="64"/>
      <c r="E494" s="65" t="s">
        <v>2359</v>
      </c>
      <c r="F494" s="64"/>
      <c r="G494" s="65" t="s">
        <v>1251</v>
      </c>
      <c r="H494" s="64"/>
      <c r="I494" s="65"/>
      <c r="J494" s="35"/>
      <c r="K494" s="35"/>
      <c r="L494" s="35"/>
      <c r="M494" s="35"/>
      <c r="N494" s="35"/>
      <c r="O494" s="35" t="s">
        <v>29</v>
      </c>
      <c r="P494" s="35"/>
      <c r="Q494" s="35"/>
      <c r="R494" s="35"/>
      <c r="S494" s="35"/>
    </row>
    <row r="495" spans="1:19" x14ac:dyDescent="0.2">
      <c r="A495" s="7"/>
      <c r="B495" s="7"/>
      <c r="C495" s="7"/>
      <c r="D495" s="24"/>
      <c r="I495" s="7"/>
    </row>
    <row r="496" spans="1:19" x14ac:dyDescent="0.2">
      <c r="A496" s="7" t="s">
        <v>1886</v>
      </c>
      <c r="B496" s="7" t="s">
        <v>1259</v>
      </c>
      <c r="C496" s="7" t="s">
        <v>2360</v>
      </c>
      <c r="D496" s="24"/>
      <c r="E496" s="7" t="s">
        <v>2361</v>
      </c>
      <c r="G496" s="7" t="s">
        <v>2362</v>
      </c>
      <c r="K496" s="7" t="s">
        <v>17</v>
      </c>
      <c r="O496" s="7"/>
      <c r="R496" s="36"/>
    </row>
    <row r="497" spans="1:19" x14ac:dyDescent="0.2">
      <c r="A497" s="45" t="s">
        <v>2189</v>
      </c>
      <c r="B497" s="45" t="s">
        <v>2997</v>
      </c>
      <c r="C497" s="45" t="s">
        <v>2815</v>
      </c>
      <c r="D497" s="48"/>
      <c r="E497" s="45" t="s">
        <v>2816</v>
      </c>
      <c r="F497" s="48"/>
      <c r="G497" s="45" t="s">
        <v>3035</v>
      </c>
      <c r="H497" s="48"/>
      <c r="I497" s="46"/>
      <c r="J497" s="46"/>
      <c r="K497" s="46" t="s">
        <v>17</v>
      </c>
      <c r="L497" s="46"/>
      <c r="M497" s="46"/>
      <c r="N497" s="46"/>
      <c r="O497" s="46" t="s">
        <v>1252</v>
      </c>
      <c r="P497" s="46"/>
      <c r="Q497" s="46"/>
      <c r="R497" s="47" t="s">
        <v>1907</v>
      </c>
      <c r="S497" s="46"/>
    </row>
    <row r="498" spans="1:19" ht="15.75" x14ac:dyDescent="0.2">
      <c r="A498" s="41" t="s">
        <v>55</v>
      </c>
      <c r="B498" s="41" t="s">
        <v>60</v>
      </c>
      <c r="C498" s="41" t="s">
        <v>255</v>
      </c>
      <c r="D498" s="77"/>
      <c r="E498" s="41" t="s">
        <v>493</v>
      </c>
      <c r="F498" s="77"/>
      <c r="G498" s="41" t="s">
        <v>3036</v>
      </c>
      <c r="H498" s="77"/>
      <c r="I498" s="41"/>
      <c r="J498" s="41"/>
      <c r="K498" s="41"/>
      <c r="L498" s="41" t="s">
        <v>2998</v>
      </c>
      <c r="M498" s="41"/>
      <c r="N498" s="41"/>
      <c r="O498" s="41" t="s">
        <v>1252</v>
      </c>
      <c r="P498" s="41"/>
      <c r="Q498" s="41"/>
      <c r="R498" s="41"/>
      <c r="S498" s="41"/>
    </row>
    <row r="499" spans="1:19" outlineLevel="1" x14ac:dyDescent="0.2">
      <c r="A499" s="25" t="s">
        <v>21</v>
      </c>
      <c r="B499" s="25" t="s">
        <v>549</v>
      </c>
      <c r="C499" s="25"/>
      <c r="D499" s="26"/>
      <c r="E499" s="25"/>
      <c r="F499" s="26"/>
      <c r="G499" s="25"/>
      <c r="H499" s="26"/>
      <c r="I499" s="25"/>
      <c r="J499" s="25"/>
      <c r="K499" s="25"/>
      <c r="L499" s="25"/>
      <c r="M499" s="25" t="s">
        <v>548</v>
      </c>
      <c r="N499" s="25"/>
      <c r="O499" s="25"/>
      <c r="P499" s="25"/>
      <c r="Q499" s="25"/>
      <c r="R499" s="25"/>
      <c r="S499" s="25"/>
    </row>
    <row r="500" spans="1:19" outlineLevel="1" x14ac:dyDescent="0.2">
      <c r="A500" s="25" t="s">
        <v>21</v>
      </c>
      <c r="B500" s="25" t="s">
        <v>3169</v>
      </c>
      <c r="C500" s="25"/>
      <c r="D500" s="26"/>
      <c r="E500" s="25"/>
      <c r="F500" s="26"/>
      <c r="G500" s="25"/>
      <c r="H500" s="26"/>
      <c r="I500" s="25"/>
      <c r="J500" s="25"/>
      <c r="K500" s="25"/>
      <c r="L500" s="25"/>
      <c r="M500" s="25" t="s">
        <v>2999</v>
      </c>
      <c r="N500" s="25"/>
      <c r="O500" s="25"/>
      <c r="P500" s="25"/>
      <c r="Q500" s="25"/>
      <c r="R500" s="25"/>
      <c r="S500" s="25"/>
    </row>
    <row r="501" spans="1:19" outlineLevel="1" x14ac:dyDescent="0.2">
      <c r="A501" s="25" t="s">
        <v>21</v>
      </c>
      <c r="B501" s="25" t="s">
        <v>3170</v>
      </c>
      <c r="C501" s="25"/>
      <c r="D501" s="26"/>
      <c r="E501" s="25"/>
      <c r="F501" s="26"/>
      <c r="G501" s="25"/>
      <c r="H501" s="26"/>
      <c r="I501" s="25"/>
      <c r="J501" s="25"/>
      <c r="K501" s="25"/>
      <c r="L501" s="25"/>
      <c r="M501" s="25" t="s">
        <v>3188</v>
      </c>
      <c r="N501" s="25"/>
      <c r="O501" s="25"/>
      <c r="P501" s="25"/>
      <c r="Q501" s="25"/>
      <c r="R501" s="25"/>
      <c r="S501" s="25"/>
    </row>
    <row r="502" spans="1:19" outlineLevel="1" x14ac:dyDescent="0.2">
      <c r="A502" s="7"/>
      <c r="B502" s="7"/>
      <c r="M502" s="7"/>
    </row>
    <row r="503" spans="1:19" outlineLevel="1" x14ac:dyDescent="0.2">
      <c r="A503" s="7" t="s">
        <v>2363</v>
      </c>
      <c r="B503" s="7" t="s">
        <v>1260</v>
      </c>
      <c r="C503" s="7" t="s">
        <v>3171</v>
      </c>
      <c r="D503" s="24"/>
      <c r="E503" s="7" t="s">
        <v>3172</v>
      </c>
      <c r="G503" s="7" t="s">
        <v>3173</v>
      </c>
      <c r="I503" s="7"/>
      <c r="J503" s="7" t="s">
        <v>3174</v>
      </c>
      <c r="K503" s="7" t="s">
        <v>17</v>
      </c>
      <c r="N503" s="8" t="s">
        <v>3175</v>
      </c>
    </row>
    <row r="504" spans="1:19" outlineLevel="1" x14ac:dyDescent="0.2">
      <c r="A504" s="7" t="s">
        <v>26</v>
      </c>
      <c r="B504" s="7" t="s">
        <v>2378</v>
      </c>
      <c r="C504" s="7" t="s">
        <v>320</v>
      </c>
      <c r="D504" s="24"/>
      <c r="E504" s="7" t="s">
        <v>61</v>
      </c>
      <c r="G504" s="7" t="s">
        <v>1219</v>
      </c>
      <c r="I504" s="63"/>
      <c r="J504" s="7"/>
      <c r="K504" s="7" t="s">
        <v>17</v>
      </c>
      <c r="O504" s="7" t="s">
        <v>1254</v>
      </c>
    </row>
    <row r="505" spans="1:19" outlineLevel="1" x14ac:dyDescent="0.2">
      <c r="A505" s="7" t="s">
        <v>2379</v>
      </c>
      <c r="B505" s="7" t="s">
        <v>1261</v>
      </c>
      <c r="C505" s="7" t="s">
        <v>3176</v>
      </c>
      <c r="D505" s="24"/>
      <c r="E505" s="7" t="s">
        <v>3177</v>
      </c>
      <c r="G505" s="7" t="s">
        <v>3178</v>
      </c>
      <c r="I505" s="7"/>
      <c r="J505" s="7"/>
      <c r="K505" s="7" t="s">
        <v>17</v>
      </c>
    </row>
    <row r="506" spans="1:19" outlineLevel="1" x14ac:dyDescent="0.2">
      <c r="A506" s="7" t="s">
        <v>1886</v>
      </c>
      <c r="B506" s="7" t="s">
        <v>1262</v>
      </c>
      <c r="C506" s="7" t="s">
        <v>3179</v>
      </c>
      <c r="D506" s="24"/>
      <c r="E506" s="7" t="s">
        <v>3180</v>
      </c>
      <c r="G506" s="7" t="s">
        <v>3181</v>
      </c>
      <c r="I506" s="7"/>
      <c r="J506" s="7"/>
      <c r="K506" s="7" t="s">
        <v>17</v>
      </c>
    </row>
    <row r="507" spans="1:19" outlineLevel="1" x14ac:dyDescent="0.2">
      <c r="A507" s="7" t="s">
        <v>2381</v>
      </c>
      <c r="B507" s="7" t="s">
        <v>1263</v>
      </c>
      <c r="C507" s="7" t="s">
        <v>3182</v>
      </c>
      <c r="D507" s="24"/>
      <c r="E507" s="7" t="s">
        <v>3183</v>
      </c>
      <c r="G507" s="7" t="s">
        <v>3184</v>
      </c>
      <c r="I507" s="7"/>
      <c r="J507" s="7"/>
      <c r="K507" s="7" t="s">
        <v>17</v>
      </c>
      <c r="O507" s="7" t="s">
        <v>1255</v>
      </c>
    </row>
    <row r="508" spans="1:19" outlineLevel="1" x14ac:dyDescent="0.2">
      <c r="A508" s="7" t="s">
        <v>28</v>
      </c>
      <c r="B508" s="7" t="s">
        <v>1264</v>
      </c>
      <c r="C508" s="7" t="s">
        <v>3185</v>
      </c>
      <c r="D508" s="24"/>
      <c r="E508" s="7" t="s">
        <v>3186</v>
      </c>
      <c r="G508" s="7" t="s">
        <v>3187</v>
      </c>
      <c r="I508" s="7"/>
      <c r="J508" s="7" t="s">
        <v>3198</v>
      </c>
      <c r="K508" s="7" t="s">
        <v>17</v>
      </c>
    </row>
    <row r="509" spans="1:19" ht="15.75" x14ac:dyDescent="0.2">
      <c r="A509" s="41" t="s">
        <v>56</v>
      </c>
      <c r="B509" s="41" t="s">
        <v>60</v>
      </c>
      <c r="C509" s="41"/>
      <c r="D509" s="77"/>
      <c r="E509" s="41"/>
      <c r="F509" s="77"/>
      <c r="G509" s="41"/>
      <c r="H509" s="77"/>
      <c r="I509" s="41"/>
      <c r="J509" s="41"/>
      <c r="K509" s="41"/>
      <c r="L509" s="41"/>
      <c r="M509" s="41"/>
      <c r="N509" s="41"/>
      <c r="O509" s="41"/>
      <c r="P509" s="41"/>
      <c r="Q509" s="41"/>
      <c r="R509" s="41"/>
      <c r="S509" s="41"/>
    </row>
    <row r="510" spans="1:19" x14ac:dyDescent="0.2">
      <c r="A510" s="7" t="s">
        <v>1902</v>
      </c>
      <c r="B510" s="7" t="s">
        <v>759</v>
      </c>
      <c r="C510" s="7" t="s">
        <v>770</v>
      </c>
      <c r="D510" s="24" t="s">
        <v>756</v>
      </c>
      <c r="E510" s="7" t="s">
        <v>812</v>
      </c>
      <c r="F510" s="24" t="s">
        <v>2186</v>
      </c>
      <c r="G510" s="7" t="s">
        <v>3037</v>
      </c>
      <c r="H510" s="24" t="s">
        <v>3024</v>
      </c>
      <c r="I510" s="7"/>
      <c r="J510" s="7" t="s">
        <v>806</v>
      </c>
      <c r="K510" s="7" t="s">
        <v>17</v>
      </c>
      <c r="O510" s="7" t="s">
        <v>29</v>
      </c>
    </row>
    <row r="511" spans="1:19" x14ac:dyDescent="0.2">
      <c r="A511" s="25" t="s">
        <v>21</v>
      </c>
      <c r="B511" s="25" t="s">
        <v>3268</v>
      </c>
      <c r="C511" s="25"/>
      <c r="D511" s="26"/>
      <c r="E511" s="25"/>
      <c r="F511" s="26"/>
      <c r="G511" s="25"/>
      <c r="H511" s="26"/>
      <c r="I511" s="25"/>
      <c r="J511" s="25"/>
      <c r="K511" s="25"/>
      <c r="L511" s="25"/>
      <c r="M511" s="25" t="s">
        <v>760</v>
      </c>
      <c r="N511" s="25"/>
      <c r="O511" s="25"/>
      <c r="P511" s="25"/>
      <c r="Q511" s="25"/>
      <c r="R511" s="25"/>
      <c r="S511" s="25"/>
    </row>
    <row r="512" spans="1:19" x14ac:dyDescent="0.2">
      <c r="A512" s="7"/>
      <c r="B512" s="7"/>
      <c r="C512" s="7"/>
      <c r="D512" s="24"/>
      <c r="I512" s="7"/>
      <c r="J512" s="7"/>
      <c r="K512" s="7"/>
    </row>
    <row r="513" spans="1:19" x14ac:dyDescent="0.2">
      <c r="A513" s="7" t="s">
        <v>1886</v>
      </c>
      <c r="B513" s="7" t="s">
        <v>1265</v>
      </c>
      <c r="C513" s="7" t="s">
        <v>2401</v>
      </c>
      <c r="D513" s="24"/>
      <c r="E513" s="7" t="s">
        <v>2402</v>
      </c>
      <c r="G513" s="7" t="s">
        <v>2403</v>
      </c>
      <c r="I513" s="7"/>
      <c r="J513" s="7"/>
      <c r="K513" s="7" t="s">
        <v>17</v>
      </c>
      <c r="O513" s="7"/>
    </row>
    <row r="514" spans="1:19" x14ac:dyDescent="0.2">
      <c r="A514" s="45" t="s">
        <v>2189</v>
      </c>
      <c r="B514" s="45" t="s">
        <v>2819</v>
      </c>
      <c r="C514" s="45" t="s">
        <v>2817</v>
      </c>
      <c r="D514" s="48"/>
      <c r="E514" s="45" t="s">
        <v>2816</v>
      </c>
      <c r="F514" s="48"/>
      <c r="G514" s="45" t="s">
        <v>2818</v>
      </c>
      <c r="H514" s="48"/>
      <c r="I514" s="45"/>
      <c r="J514" s="45"/>
      <c r="K514" s="46" t="s">
        <v>17</v>
      </c>
      <c r="L514" s="46"/>
      <c r="M514" s="46"/>
      <c r="N514" s="46"/>
      <c r="O514" s="46" t="s">
        <v>1256</v>
      </c>
      <c r="P514" s="46"/>
      <c r="Q514" s="46"/>
      <c r="R514" s="47" t="s">
        <v>1907</v>
      </c>
      <c r="S514" s="46"/>
    </row>
    <row r="515" spans="1:19" x14ac:dyDescent="0.2">
      <c r="A515" s="7" t="s">
        <v>1886</v>
      </c>
      <c r="B515" s="7" t="s">
        <v>1266</v>
      </c>
      <c r="C515" s="7" t="s">
        <v>2404</v>
      </c>
      <c r="D515" s="24"/>
      <c r="E515" s="7" t="s">
        <v>2405</v>
      </c>
      <c r="G515" s="7" t="s">
        <v>2406</v>
      </c>
      <c r="I515" s="7"/>
      <c r="J515" s="7"/>
      <c r="K515" s="7" t="s">
        <v>17</v>
      </c>
    </row>
    <row r="516" spans="1:19" x14ac:dyDescent="0.2">
      <c r="A516" s="45" t="s">
        <v>2189</v>
      </c>
      <c r="B516" s="45" t="s">
        <v>2821</v>
      </c>
      <c r="C516" s="45" t="s">
        <v>2820</v>
      </c>
      <c r="D516" s="48"/>
      <c r="E516" s="45" t="s">
        <v>2822</v>
      </c>
      <c r="F516" s="48"/>
      <c r="G516" s="45" t="s">
        <v>3284</v>
      </c>
      <c r="H516" s="48"/>
      <c r="I516" s="45"/>
      <c r="J516" s="45"/>
      <c r="K516" s="45" t="s">
        <v>17</v>
      </c>
      <c r="L516" s="46"/>
      <c r="M516" s="46"/>
      <c r="N516" s="46"/>
      <c r="O516" s="45" t="s">
        <v>1257</v>
      </c>
      <c r="P516" s="46"/>
      <c r="Q516" s="46"/>
      <c r="R516" s="47" t="s">
        <v>1907</v>
      </c>
      <c r="S516" s="46"/>
    </row>
    <row r="517" spans="1:19" x14ac:dyDescent="0.2">
      <c r="A517" s="7" t="s">
        <v>1886</v>
      </c>
      <c r="B517" s="7" t="s">
        <v>1267</v>
      </c>
      <c r="C517" s="7" t="s">
        <v>2407</v>
      </c>
      <c r="D517" s="24"/>
      <c r="E517" s="7" t="s">
        <v>2408</v>
      </c>
      <c r="G517" s="7" t="s">
        <v>2409</v>
      </c>
      <c r="I517" s="7"/>
      <c r="J517" s="7"/>
      <c r="K517" s="7" t="s">
        <v>17</v>
      </c>
      <c r="O517" s="7"/>
      <c r="R517" s="36"/>
    </row>
    <row r="518" spans="1:19" x14ac:dyDescent="0.2">
      <c r="A518" s="45" t="s">
        <v>2189</v>
      </c>
      <c r="B518" s="45" t="s">
        <v>3000</v>
      </c>
      <c r="C518" s="45" t="s">
        <v>2823</v>
      </c>
      <c r="D518" s="48"/>
      <c r="E518" s="45" t="s">
        <v>2824</v>
      </c>
      <c r="F518" s="48"/>
      <c r="G518" s="45" t="s">
        <v>2825</v>
      </c>
      <c r="H518" s="48"/>
      <c r="I518" s="45"/>
      <c r="J518" s="45"/>
      <c r="K518" s="45" t="s">
        <v>17</v>
      </c>
      <c r="L518" s="46"/>
      <c r="M518" s="46"/>
      <c r="N518" s="46"/>
      <c r="O518" s="45" t="s">
        <v>1258</v>
      </c>
      <c r="P518" s="46"/>
      <c r="Q518" s="46"/>
      <c r="R518" s="47" t="s">
        <v>1907</v>
      </c>
      <c r="S518" s="46"/>
    </row>
    <row r="519" spans="1:19" ht="15.75" x14ac:dyDescent="0.2">
      <c r="A519" s="41" t="s">
        <v>55</v>
      </c>
      <c r="B519" s="41" t="s">
        <v>2826</v>
      </c>
      <c r="C519" s="41" t="s">
        <v>1253</v>
      </c>
      <c r="D519" s="77"/>
      <c r="E519" s="41" t="s">
        <v>830</v>
      </c>
      <c r="F519" s="77"/>
      <c r="G519" s="41" t="s">
        <v>3039</v>
      </c>
      <c r="H519" s="77"/>
      <c r="I519" s="41"/>
      <c r="J519" s="41"/>
      <c r="K519" s="41"/>
      <c r="L519" s="41" t="s">
        <v>3001</v>
      </c>
      <c r="M519" s="41"/>
      <c r="N519" s="41"/>
      <c r="O519" s="41" t="s">
        <v>1258</v>
      </c>
      <c r="P519" s="41"/>
      <c r="Q519" s="41"/>
      <c r="R519" s="41"/>
      <c r="S519" s="41"/>
    </row>
    <row r="520" spans="1:19" outlineLevel="1" x14ac:dyDescent="0.2">
      <c r="A520" s="25" t="s">
        <v>21</v>
      </c>
      <c r="B520" s="25" t="s">
        <v>2827</v>
      </c>
      <c r="C520" s="25"/>
      <c r="D520" s="26"/>
      <c r="E520" s="25"/>
      <c r="F520" s="26"/>
      <c r="G520" s="25"/>
      <c r="H520" s="26"/>
      <c r="I520" s="25"/>
      <c r="J520" s="25"/>
      <c r="K520" s="25"/>
      <c r="L520" s="25"/>
      <c r="M520" s="25" t="s">
        <v>548</v>
      </c>
      <c r="N520" s="25"/>
      <c r="O520" s="25"/>
      <c r="P520" s="25"/>
      <c r="Q520" s="25"/>
      <c r="R520" s="25"/>
      <c r="S520" s="25"/>
    </row>
    <row r="521" spans="1:19" outlineLevel="1" x14ac:dyDescent="0.2">
      <c r="A521" s="25" t="s">
        <v>21</v>
      </c>
      <c r="B521" s="25" t="s">
        <v>3189</v>
      </c>
      <c r="C521" s="25"/>
      <c r="D521" s="26"/>
      <c r="E521" s="25"/>
      <c r="F521" s="26"/>
      <c r="G521" s="25"/>
      <c r="H521" s="26"/>
      <c r="I521" s="25"/>
      <c r="J521" s="25"/>
      <c r="K521" s="25"/>
      <c r="L521" s="25"/>
      <c r="M521" s="25" t="s">
        <v>3002</v>
      </c>
      <c r="N521" s="25"/>
      <c r="O521" s="25"/>
      <c r="P521" s="25"/>
      <c r="Q521" s="25"/>
      <c r="R521" s="25"/>
      <c r="S521" s="25"/>
    </row>
    <row r="522" spans="1:19" outlineLevel="1" x14ac:dyDescent="0.2">
      <c r="A522" s="25" t="s">
        <v>21</v>
      </c>
      <c r="B522" s="25" t="s">
        <v>3191</v>
      </c>
      <c r="C522" s="25"/>
      <c r="D522" s="26"/>
      <c r="E522" s="25"/>
      <c r="F522" s="26"/>
      <c r="G522" s="25"/>
      <c r="H522" s="26"/>
      <c r="I522" s="25"/>
      <c r="J522" s="25"/>
      <c r="K522" s="25"/>
      <c r="L522" s="25"/>
      <c r="M522" s="25" t="s">
        <v>3190</v>
      </c>
      <c r="N522" s="25"/>
      <c r="O522" s="25"/>
      <c r="P522" s="25"/>
      <c r="Q522" s="25"/>
      <c r="R522" s="25"/>
      <c r="S522" s="25"/>
    </row>
    <row r="523" spans="1:19" outlineLevel="1" x14ac:dyDescent="0.2">
      <c r="A523" s="7"/>
      <c r="B523" s="7"/>
      <c r="C523" s="7"/>
      <c r="D523" s="24"/>
      <c r="K523" s="7"/>
      <c r="R523" s="36"/>
    </row>
    <row r="524" spans="1:19" outlineLevel="1" x14ac:dyDescent="0.2">
      <c r="A524" s="7" t="s">
        <v>1886</v>
      </c>
      <c r="B524" s="7" t="s">
        <v>1268</v>
      </c>
      <c r="C524" s="7" t="s">
        <v>3192</v>
      </c>
      <c r="D524" s="24"/>
      <c r="E524" s="7" t="s">
        <v>3193</v>
      </c>
      <c r="G524" s="7" t="s">
        <v>3194</v>
      </c>
      <c r="J524" s="8" t="s">
        <v>3195</v>
      </c>
      <c r="K524" s="7" t="s">
        <v>17</v>
      </c>
      <c r="N524" s="7" t="s">
        <v>3196</v>
      </c>
      <c r="R524" s="36"/>
    </row>
    <row r="525" spans="1:19" ht="15.75" x14ac:dyDescent="0.2">
      <c r="A525" s="41" t="s">
        <v>56</v>
      </c>
      <c r="B525" s="41" t="s">
        <v>2826</v>
      </c>
      <c r="C525" s="41"/>
      <c r="D525" s="77"/>
      <c r="E525" s="41"/>
      <c r="F525" s="77"/>
      <c r="G525" s="41"/>
      <c r="H525" s="77"/>
      <c r="I525" s="41"/>
      <c r="J525" s="41"/>
      <c r="K525" s="41"/>
      <c r="L525" s="41"/>
      <c r="M525" s="41"/>
      <c r="N525" s="41"/>
      <c r="O525" s="41"/>
      <c r="P525" s="41"/>
      <c r="Q525" s="41"/>
      <c r="R525" s="41"/>
      <c r="S525" s="41"/>
    </row>
    <row r="526" spans="1:19" x14ac:dyDescent="0.2">
      <c r="A526" s="7" t="s">
        <v>1902</v>
      </c>
      <c r="B526" s="7" t="s">
        <v>2828</v>
      </c>
      <c r="C526" s="7" t="s">
        <v>771</v>
      </c>
      <c r="D526" s="24" t="s">
        <v>756</v>
      </c>
      <c r="E526" s="7" t="s">
        <v>813</v>
      </c>
      <c r="F526" s="24" t="s">
        <v>2186</v>
      </c>
      <c r="G526" s="7" t="s">
        <v>3038</v>
      </c>
      <c r="H526" s="24" t="s">
        <v>3024</v>
      </c>
      <c r="J526" s="8" t="s">
        <v>806</v>
      </c>
      <c r="K526" s="7" t="s">
        <v>17</v>
      </c>
      <c r="O526" s="7" t="s">
        <v>29</v>
      </c>
    </row>
    <row r="527" spans="1:19" x14ac:dyDescent="0.2">
      <c r="A527" s="25" t="s">
        <v>21</v>
      </c>
      <c r="B527" s="25" t="s">
        <v>3269</v>
      </c>
      <c r="C527" s="25"/>
      <c r="D527" s="26"/>
      <c r="E527" s="25"/>
      <c r="F527" s="26"/>
      <c r="G527" s="25"/>
      <c r="H527" s="26"/>
      <c r="I527" s="25"/>
      <c r="J527" s="25"/>
      <c r="K527" s="25"/>
      <c r="L527" s="25"/>
      <c r="M527" s="25" t="s">
        <v>2829</v>
      </c>
      <c r="N527" s="25"/>
      <c r="O527" s="25"/>
      <c r="P527" s="25"/>
      <c r="Q527" s="25"/>
      <c r="R527" s="25"/>
      <c r="S527" s="25"/>
    </row>
    <row r="528" spans="1:19" x14ac:dyDescent="0.2">
      <c r="A528" s="7"/>
      <c r="B528" s="7"/>
      <c r="C528" s="7"/>
      <c r="D528" s="24"/>
      <c r="I528" s="7"/>
      <c r="J528" s="7"/>
      <c r="K528" s="7"/>
    </row>
    <row r="529" spans="1:19" x14ac:dyDescent="0.2">
      <c r="B529" s="7"/>
      <c r="C529" s="7"/>
      <c r="D529" s="24"/>
    </row>
    <row r="530" spans="1:19" ht="18.75" x14ac:dyDescent="0.2">
      <c r="A530" s="65" t="s">
        <v>48</v>
      </c>
      <c r="B530" s="65" t="s">
        <v>2812</v>
      </c>
      <c r="C530" s="35"/>
      <c r="D530" s="83"/>
      <c r="E530" s="65"/>
      <c r="F530" s="64"/>
      <c r="G530" s="65"/>
      <c r="H530" s="64"/>
      <c r="I530" s="35"/>
      <c r="J530" s="35"/>
      <c r="K530" s="35"/>
      <c r="L530" s="35"/>
      <c r="M530" s="35"/>
      <c r="N530" s="35"/>
      <c r="O530" s="35"/>
      <c r="P530" s="35"/>
      <c r="Q530" s="35"/>
      <c r="R530" s="35"/>
      <c r="S530" s="35"/>
    </row>
    <row r="531" spans="1:19" x14ac:dyDescent="0.2">
      <c r="A531" s="7" t="s">
        <v>1902</v>
      </c>
      <c r="B531" s="7" t="s">
        <v>2813</v>
      </c>
      <c r="C531" s="7" t="s">
        <v>772</v>
      </c>
      <c r="D531" s="24" t="s">
        <v>756</v>
      </c>
      <c r="E531" s="7" t="s">
        <v>814</v>
      </c>
      <c r="F531" s="24" t="s">
        <v>2186</v>
      </c>
      <c r="G531" s="7" t="s">
        <v>3040</v>
      </c>
      <c r="H531" s="24" t="s">
        <v>3024</v>
      </c>
      <c r="I531" s="7"/>
      <c r="J531" s="7" t="s">
        <v>806</v>
      </c>
      <c r="K531" s="7" t="s">
        <v>17</v>
      </c>
      <c r="L531" s="7"/>
      <c r="O531" s="7" t="s">
        <v>29</v>
      </c>
    </row>
    <row r="532" spans="1:19" x14ac:dyDescent="0.2">
      <c r="A532" s="25" t="s">
        <v>21</v>
      </c>
      <c r="B532" s="25" t="s">
        <v>3270</v>
      </c>
      <c r="C532" s="25"/>
      <c r="D532" s="26"/>
      <c r="E532" s="25"/>
      <c r="F532" s="26"/>
      <c r="G532" s="25"/>
      <c r="H532" s="26"/>
      <c r="I532" s="25"/>
      <c r="J532" s="25"/>
      <c r="K532" s="25"/>
      <c r="L532" s="25"/>
      <c r="M532" s="25" t="s">
        <v>2814</v>
      </c>
      <c r="N532" s="25"/>
      <c r="O532" s="25"/>
      <c r="P532" s="25"/>
      <c r="Q532" s="25"/>
      <c r="R532" s="25"/>
      <c r="S532" s="25"/>
    </row>
    <row r="533" spans="1:19" x14ac:dyDescent="0.2">
      <c r="A533" s="7"/>
      <c r="B533" s="7"/>
      <c r="C533" s="7"/>
      <c r="D533" s="24"/>
      <c r="I533" s="7"/>
      <c r="J533" s="7"/>
      <c r="K533" s="7"/>
    </row>
    <row r="534" spans="1:19" s="105" customFormat="1" ht="48.75" customHeight="1" x14ac:dyDescent="0.25">
      <c r="A534" s="65" t="s">
        <v>16</v>
      </c>
      <c r="B534" s="65" t="s">
        <v>2800</v>
      </c>
      <c r="C534" s="65" t="s">
        <v>2417</v>
      </c>
      <c r="D534" s="64"/>
      <c r="E534" s="65" t="s">
        <v>2418</v>
      </c>
      <c r="F534" s="64"/>
      <c r="G534" s="65" t="s">
        <v>1285</v>
      </c>
      <c r="H534" s="64"/>
      <c r="I534" s="65"/>
      <c r="J534" s="35"/>
      <c r="K534" s="35"/>
      <c r="L534" s="35"/>
      <c r="M534" s="35"/>
      <c r="N534" s="35"/>
      <c r="O534" s="35" t="s">
        <v>29</v>
      </c>
      <c r="P534" s="35"/>
      <c r="Q534" s="35"/>
      <c r="R534" s="35"/>
      <c r="S534" s="35"/>
    </row>
    <row r="535" spans="1:19" x14ac:dyDescent="0.2">
      <c r="A535" s="7" t="s">
        <v>22</v>
      </c>
      <c r="B535" s="7" t="s">
        <v>2830</v>
      </c>
      <c r="C535" s="7" t="s">
        <v>62</v>
      </c>
      <c r="D535" s="24"/>
      <c r="E535" s="7" t="s">
        <v>310</v>
      </c>
      <c r="G535" s="7" t="s">
        <v>1286</v>
      </c>
      <c r="I535" s="7"/>
      <c r="J535" s="7"/>
      <c r="K535" s="7"/>
      <c r="L535" s="7"/>
      <c r="M535" s="7"/>
      <c r="N535" s="7"/>
      <c r="O535" s="7"/>
      <c r="P535" s="7"/>
      <c r="Q535" s="7"/>
      <c r="R535" s="7"/>
      <c r="S535" s="7"/>
    </row>
    <row r="536" spans="1:19" x14ac:dyDescent="0.2">
      <c r="A536" s="7" t="s">
        <v>2419</v>
      </c>
      <c r="B536" s="7" t="s">
        <v>1287</v>
      </c>
      <c r="C536" s="7" t="s">
        <v>2420</v>
      </c>
      <c r="D536" s="24"/>
      <c r="E536" s="7" t="s">
        <v>2421</v>
      </c>
      <c r="G536" s="7" t="s">
        <v>2422</v>
      </c>
      <c r="K536" s="7" t="s">
        <v>17</v>
      </c>
    </row>
    <row r="537" spans="1:19" x14ac:dyDescent="0.2">
      <c r="A537" s="7" t="s">
        <v>2419</v>
      </c>
      <c r="B537" s="7" t="s">
        <v>1288</v>
      </c>
      <c r="C537" s="7" t="s">
        <v>2424</v>
      </c>
      <c r="D537" s="24"/>
      <c r="E537" s="7" t="s">
        <v>2425</v>
      </c>
      <c r="G537" s="7" t="s">
        <v>2426</v>
      </c>
      <c r="K537" s="7" t="s">
        <v>17</v>
      </c>
    </row>
    <row r="538" spans="1:19" x14ac:dyDescent="0.2">
      <c r="A538" s="7" t="s">
        <v>2419</v>
      </c>
      <c r="B538" s="7" t="s">
        <v>1289</v>
      </c>
      <c r="C538" s="7" t="s">
        <v>2427</v>
      </c>
      <c r="D538" s="24"/>
      <c r="E538" s="7" t="s">
        <v>2428</v>
      </c>
      <c r="G538" s="7" t="s">
        <v>2429</v>
      </c>
      <c r="K538" s="7" t="s">
        <v>17</v>
      </c>
    </row>
    <row r="539" spans="1:19" ht="36" customHeight="1" x14ac:dyDescent="0.2">
      <c r="A539" s="7" t="s">
        <v>2419</v>
      </c>
      <c r="B539" s="7" t="s">
        <v>1290</v>
      </c>
      <c r="C539" s="7" t="s">
        <v>2430</v>
      </c>
      <c r="D539" s="24"/>
      <c r="E539" s="7" t="s">
        <v>2431</v>
      </c>
      <c r="G539" s="7" t="s">
        <v>2432</v>
      </c>
      <c r="K539" s="7" t="s">
        <v>17</v>
      </c>
    </row>
    <row r="540" spans="1:19" x14ac:dyDescent="0.2">
      <c r="A540" s="7" t="s">
        <v>2419</v>
      </c>
      <c r="B540" s="7" t="s">
        <v>1291</v>
      </c>
      <c r="C540" s="7" t="s">
        <v>2433</v>
      </c>
      <c r="D540" s="24"/>
      <c r="E540" s="7" t="s">
        <v>2434</v>
      </c>
      <c r="G540" s="7" t="s">
        <v>3285</v>
      </c>
      <c r="K540" s="7" t="s">
        <v>17</v>
      </c>
    </row>
    <row r="541" spans="1:19" x14ac:dyDescent="0.2">
      <c r="A541" s="7" t="s">
        <v>2419</v>
      </c>
      <c r="B541" s="7" t="s">
        <v>1292</v>
      </c>
      <c r="C541" s="7" t="s">
        <v>2435</v>
      </c>
      <c r="D541" s="24"/>
      <c r="E541" s="7" t="s">
        <v>2436</v>
      </c>
      <c r="G541" s="7" t="s">
        <v>2437</v>
      </c>
      <c r="K541" s="7" t="s">
        <v>17</v>
      </c>
    </row>
    <row r="542" spans="1:19" x14ac:dyDescent="0.2">
      <c r="A542" s="7" t="s">
        <v>2419</v>
      </c>
      <c r="B542" s="7" t="s">
        <v>1293</v>
      </c>
      <c r="C542" s="7" t="s">
        <v>2438</v>
      </c>
      <c r="D542" s="24"/>
      <c r="E542" s="7" t="s">
        <v>2439</v>
      </c>
      <c r="G542" s="7" t="s">
        <v>3041</v>
      </c>
      <c r="K542" s="7" t="s">
        <v>17</v>
      </c>
    </row>
    <row r="543" spans="1:19" x14ac:dyDescent="0.2">
      <c r="A543" s="7" t="s">
        <v>2419</v>
      </c>
      <c r="B543" s="7" t="s">
        <v>1294</v>
      </c>
      <c r="C543" s="7" t="s">
        <v>2440</v>
      </c>
      <c r="D543" s="24"/>
      <c r="E543" s="7" t="s">
        <v>2441</v>
      </c>
      <c r="G543" s="7" t="s">
        <v>2442</v>
      </c>
      <c r="K543" s="7" t="s">
        <v>17</v>
      </c>
    </row>
    <row r="544" spans="1:19" x14ac:dyDescent="0.2">
      <c r="A544" s="7" t="s">
        <v>2419</v>
      </c>
      <c r="B544" s="7" t="s">
        <v>1295</v>
      </c>
      <c r="C544" s="7" t="s">
        <v>2443</v>
      </c>
      <c r="D544" s="24"/>
      <c r="E544" s="7" t="s">
        <v>2444</v>
      </c>
      <c r="G544" s="7" t="s">
        <v>2445</v>
      </c>
      <c r="K544" s="7" t="s">
        <v>17</v>
      </c>
    </row>
    <row r="545" spans="1:12" x14ac:dyDescent="0.2">
      <c r="A545" s="7" t="s">
        <v>2419</v>
      </c>
      <c r="B545" s="7" t="s">
        <v>1296</v>
      </c>
      <c r="C545" s="7" t="s">
        <v>2446</v>
      </c>
      <c r="D545" s="24"/>
      <c r="E545" s="7" t="s">
        <v>2447</v>
      </c>
      <c r="G545" s="7" t="s">
        <v>2448</v>
      </c>
      <c r="K545" s="7" t="s">
        <v>17</v>
      </c>
    </row>
    <row r="546" spans="1:12" x14ac:dyDescent="0.2">
      <c r="A546" s="7" t="s">
        <v>2419</v>
      </c>
      <c r="B546" s="7" t="s">
        <v>1297</v>
      </c>
      <c r="C546" s="7" t="s">
        <v>2449</v>
      </c>
      <c r="D546" s="24"/>
      <c r="E546" s="7" t="s">
        <v>2450</v>
      </c>
      <c r="G546" s="7" t="s">
        <v>2451</v>
      </c>
      <c r="K546" s="7" t="s">
        <v>17</v>
      </c>
    </row>
    <row r="547" spans="1:12" x14ac:dyDescent="0.2">
      <c r="A547" s="7" t="s">
        <v>2419</v>
      </c>
      <c r="B547" s="7" t="s">
        <v>1298</v>
      </c>
      <c r="C547" s="7" t="s">
        <v>2452</v>
      </c>
      <c r="D547" s="24"/>
      <c r="E547" s="7" t="s">
        <v>2453</v>
      </c>
      <c r="G547" s="7" t="s">
        <v>3286</v>
      </c>
      <c r="K547" s="7" t="s">
        <v>17</v>
      </c>
    </row>
    <row r="548" spans="1:12" x14ac:dyDescent="0.2">
      <c r="A548" s="7" t="s">
        <v>2454</v>
      </c>
      <c r="B548" s="7" t="s">
        <v>1299</v>
      </c>
      <c r="C548" s="7" t="s">
        <v>2455</v>
      </c>
      <c r="D548" s="24" t="s">
        <v>2456</v>
      </c>
      <c r="E548" s="7" t="s">
        <v>2457</v>
      </c>
      <c r="G548" s="7" t="s">
        <v>2458</v>
      </c>
      <c r="K548" s="7" t="s">
        <v>17</v>
      </c>
    </row>
    <row r="549" spans="1:12" x14ac:dyDescent="0.2">
      <c r="A549" s="7" t="s">
        <v>2419</v>
      </c>
      <c r="B549" s="7" t="s">
        <v>1300</v>
      </c>
      <c r="C549" s="7" t="s">
        <v>2492</v>
      </c>
      <c r="D549" s="24"/>
      <c r="E549" s="7" t="s">
        <v>2493</v>
      </c>
      <c r="G549" s="7" t="s">
        <v>2494</v>
      </c>
      <c r="K549" s="7" t="s">
        <v>17</v>
      </c>
    </row>
    <row r="550" spans="1:12" x14ac:dyDescent="0.2">
      <c r="A550" s="7" t="s">
        <v>2419</v>
      </c>
      <c r="B550" s="7" t="s">
        <v>1301</v>
      </c>
      <c r="C550" s="7" t="s">
        <v>2495</v>
      </c>
      <c r="D550" s="24"/>
      <c r="E550" s="7" t="s">
        <v>2496</v>
      </c>
      <c r="G550" s="7" t="s">
        <v>2497</v>
      </c>
      <c r="K550" s="7" t="s">
        <v>17</v>
      </c>
    </row>
    <row r="551" spans="1:12" x14ac:dyDescent="0.2">
      <c r="A551" s="7" t="s">
        <v>2419</v>
      </c>
      <c r="B551" s="7" t="s">
        <v>1302</v>
      </c>
      <c r="C551" s="7" t="s">
        <v>2498</v>
      </c>
      <c r="D551" s="24"/>
      <c r="E551" s="7" t="s">
        <v>2499</v>
      </c>
      <c r="G551" s="7" t="s">
        <v>2500</v>
      </c>
      <c r="I551" s="7"/>
      <c r="J551" s="7"/>
      <c r="K551" s="7" t="s">
        <v>17</v>
      </c>
      <c r="L551" s="7"/>
    </row>
    <row r="552" spans="1:12" x14ac:dyDescent="0.2">
      <c r="A552" s="7" t="s">
        <v>2419</v>
      </c>
      <c r="B552" s="7" t="s">
        <v>1303</v>
      </c>
      <c r="C552" s="7" t="s">
        <v>2501</v>
      </c>
      <c r="D552" s="24"/>
      <c r="E552" s="7" t="s">
        <v>2502</v>
      </c>
      <c r="G552" s="7" t="s">
        <v>3042</v>
      </c>
      <c r="I552" s="7"/>
      <c r="J552" s="7"/>
      <c r="K552" s="7" t="s">
        <v>17</v>
      </c>
      <c r="L552" s="7"/>
    </row>
    <row r="553" spans="1:12" x14ac:dyDescent="0.2">
      <c r="A553" s="7" t="s">
        <v>2419</v>
      </c>
      <c r="B553" s="7" t="s">
        <v>1304</v>
      </c>
      <c r="C553" s="7" t="s">
        <v>2503</v>
      </c>
      <c r="D553" s="24"/>
      <c r="E553" s="7" t="s">
        <v>2504</v>
      </c>
      <c r="G553" s="7" t="s">
        <v>2505</v>
      </c>
      <c r="I553" s="7"/>
      <c r="J553" s="7"/>
      <c r="K553" s="7" t="s">
        <v>17</v>
      </c>
      <c r="L553" s="7"/>
    </row>
    <row r="554" spans="1:12" x14ac:dyDescent="0.2">
      <c r="A554" s="7" t="s">
        <v>2419</v>
      </c>
      <c r="B554" s="7" t="s">
        <v>1305</v>
      </c>
      <c r="C554" s="7" t="s">
        <v>2506</v>
      </c>
      <c r="D554" s="24"/>
      <c r="E554" s="7" t="s">
        <v>2507</v>
      </c>
      <c r="G554" s="7" t="s">
        <v>2508</v>
      </c>
      <c r="I554" s="7"/>
      <c r="J554" s="7"/>
      <c r="K554" s="7" t="s">
        <v>17</v>
      </c>
      <c r="L554" s="7"/>
    </row>
    <row r="555" spans="1:12" x14ac:dyDescent="0.2">
      <c r="A555" s="7" t="s">
        <v>2419</v>
      </c>
      <c r="B555" s="7" t="s">
        <v>1306</v>
      </c>
      <c r="C555" s="7" t="s">
        <v>2509</v>
      </c>
      <c r="D555" s="24"/>
      <c r="E555" s="7" t="s">
        <v>2510</v>
      </c>
      <c r="G555" s="7" t="s">
        <v>2511</v>
      </c>
      <c r="I555" s="7"/>
      <c r="J555" s="7"/>
      <c r="K555" s="7" t="s">
        <v>17</v>
      </c>
      <c r="L555" s="7"/>
    </row>
    <row r="556" spans="1:12" x14ac:dyDescent="0.2">
      <c r="A556" s="7" t="s">
        <v>2419</v>
      </c>
      <c r="B556" s="7" t="s">
        <v>1307</v>
      </c>
      <c r="C556" s="7" t="s">
        <v>2512</v>
      </c>
      <c r="D556" s="24"/>
      <c r="E556" s="7" t="s">
        <v>2513</v>
      </c>
      <c r="G556" s="7" t="s">
        <v>2514</v>
      </c>
      <c r="I556" s="7"/>
      <c r="J556" s="7"/>
      <c r="K556" s="7" t="s">
        <v>17</v>
      </c>
      <c r="L556" s="7"/>
    </row>
    <row r="557" spans="1:12" x14ac:dyDescent="0.2">
      <c r="A557" s="7" t="s">
        <v>2419</v>
      </c>
      <c r="B557" s="7" t="s">
        <v>1308</v>
      </c>
      <c r="C557" s="7" t="s">
        <v>2515</v>
      </c>
      <c r="D557" s="24"/>
      <c r="E557" s="7" t="s">
        <v>2516</v>
      </c>
      <c r="G557" s="7" t="s">
        <v>2517</v>
      </c>
      <c r="I557" s="7"/>
      <c r="J557" s="7"/>
      <c r="K557" s="7" t="s">
        <v>17</v>
      </c>
      <c r="L557" s="7"/>
    </row>
    <row r="558" spans="1:12" x14ac:dyDescent="0.2">
      <c r="A558" s="7" t="s">
        <v>2518</v>
      </c>
      <c r="B558" s="7" t="s">
        <v>1309</v>
      </c>
      <c r="C558" s="7" t="s">
        <v>2519</v>
      </c>
      <c r="D558" s="24"/>
      <c r="E558" s="7" t="s">
        <v>2520</v>
      </c>
      <c r="G558" s="7" t="s">
        <v>2521</v>
      </c>
      <c r="I558" s="7"/>
      <c r="J558" s="7"/>
      <c r="K558" s="7" t="s">
        <v>17</v>
      </c>
      <c r="L558" s="7"/>
    </row>
    <row r="559" spans="1:12" x14ac:dyDescent="0.2">
      <c r="A559" s="7" t="s">
        <v>2522</v>
      </c>
      <c r="B559" s="7" t="s">
        <v>1310</v>
      </c>
      <c r="C559" s="7" t="s">
        <v>2523</v>
      </c>
      <c r="D559" s="24"/>
      <c r="E559" s="7" t="s">
        <v>2524</v>
      </c>
      <c r="G559" s="7" t="s">
        <v>2525</v>
      </c>
      <c r="I559" s="7"/>
      <c r="J559" s="7"/>
      <c r="K559" s="7" t="s">
        <v>17</v>
      </c>
      <c r="L559" s="7"/>
    </row>
    <row r="560" spans="1:12" x14ac:dyDescent="0.2">
      <c r="A560" s="7" t="s">
        <v>2522</v>
      </c>
      <c r="B560" s="7" t="s">
        <v>1311</v>
      </c>
      <c r="C560" s="7" t="s">
        <v>2526</v>
      </c>
      <c r="D560" s="24"/>
      <c r="E560" s="7" t="s">
        <v>2527</v>
      </c>
      <c r="G560" s="7" t="s">
        <v>2528</v>
      </c>
      <c r="I560" s="7"/>
      <c r="J560" s="7"/>
      <c r="K560" s="7" t="s">
        <v>17</v>
      </c>
      <c r="L560" s="7"/>
    </row>
    <row r="561" spans="1:19" x14ac:dyDescent="0.2">
      <c r="A561" s="7" t="s">
        <v>2522</v>
      </c>
      <c r="B561" s="7" t="s">
        <v>1312</v>
      </c>
      <c r="C561" s="7" t="s">
        <v>2529</v>
      </c>
      <c r="D561" s="24"/>
      <c r="E561" s="7" t="s">
        <v>2530</v>
      </c>
      <c r="G561" s="7" t="s">
        <v>2531</v>
      </c>
      <c r="I561" s="7"/>
      <c r="J561" s="7"/>
      <c r="K561" s="7" t="s">
        <v>17</v>
      </c>
      <c r="L561" s="7"/>
    </row>
    <row r="562" spans="1:19" x14ac:dyDescent="0.2">
      <c r="A562" s="7" t="s">
        <v>2532</v>
      </c>
      <c r="B562" s="7" t="s">
        <v>1313</v>
      </c>
      <c r="C562" s="7" t="s">
        <v>2533</v>
      </c>
      <c r="D562" s="24"/>
      <c r="E562" s="7" t="s">
        <v>2534</v>
      </c>
      <c r="G562" s="7" t="s">
        <v>2535</v>
      </c>
      <c r="I562" s="7"/>
      <c r="J562" s="7"/>
      <c r="K562" s="7" t="s">
        <v>17</v>
      </c>
      <c r="L562" s="7"/>
    </row>
    <row r="563" spans="1:19" x14ac:dyDescent="0.2">
      <c r="A563" s="7" t="s">
        <v>2419</v>
      </c>
      <c r="B563" s="7" t="s">
        <v>1314</v>
      </c>
      <c r="C563" s="7" t="s">
        <v>2536</v>
      </c>
      <c r="D563" s="24"/>
      <c r="E563" s="7" t="s">
        <v>2537</v>
      </c>
      <c r="G563" s="7" t="s">
        <v>3287</v>
      </c>
      <c r="I563" s="7"/>
      <c r="J563" s="7"/>
      <c r="K563" s="7" t="s">
        <v>17</v>
      </c>
      <c r="L563" s="7"/>
    </row>
    <row r="564" spans="1:19" x14ac:dyDescent="0.2">
      <c r="A564" s="7" t="s">
        <v>2419</v>
      </c>
      <c r="B564" s="7" t="s">
        <v>1315</v>
      </c>
      <c r="C564" s="7" t="s">
        <v>2538</v>
      </c>
      <c r="D564" s="24"/>
      <c r="E564" s="7" t="s">
        <v>2539</v>
      </c>
      <c r="G564" s="7" t="s">
        <v>2540</v>
      </c>
      <c r="I564" s="7"/>
      <c r="J564" s="7"/>
      <c r="K564" s="7" t="s">
        <v>17</v>
      </c>
      <c r="L564" s="7"/>
    </row>
    <row r="565" spans="1:19" x14ac:dyDescent="0.2">
      <c r="A565" s="7" t="s">
        <v>2419</v>
      </c>
      <c r="B565" s="7" t="s">
        <v>1316</v>
      </c>
      <c r="C565" s="7" t="s">
        <v>2541</v>
      </c>
      <c r="D565" s="24"/>
      <c r="E565" s="7" t="s">
        <v>2542</v>
      </c>
      <c r="G565" s="7" t="s">
        <v>2543</v>
      </c>
      <c r="I565" s="7"/>
      <c r="J565" s="7"/>
      <c r="K565" s="7" t="s">
        <v>17</v>
      </c>
      <c r="L565" s="7"/>
    </row>
    <row r="566" spans="1:19" x14ac:dyDescent="0.2">
      <c r="A566" s="7" t="s">
        <v>2419</v>
      </c>
      <c r="B566" s="7" t="s">
        <v>1317</v>
      </c>
      <c r="C566" s="7" t="s">
        <v>2544</v>
      </c>
      <c r="D566" s="24"/>
      <c r="E566" s="7" t="s">
        <v>2545</v>
      </c>
      <c r="G566" s="7" t="s">
        <v>3043</v>
      </c>
      <c r="I566" s="7"/>
      <c r="J566" s="7"/>
      <c r="K566" s="7" t="s">
        <v>17</v>
      </c>
      <c r="L566" s="7"/>
    </row>
    <row r="567" spans="1:19" x14ac:dyDescent="0.2">
      <c r="A567" s="7" t="s">
        <v>2419</v>
      </c>
      <c r="B567" s="7" t="s">
        <v>1318</v>
      </c>
      <c r="C567" s="7" t="s">
        <v>2546</v>
      </c>
      <c r="D567" s="24"/>
      <c r="E567" s="7" t="s">
        <v>2547</v>
      </c>
      <c r="G567" s="7" t="s">
        <v>2548</v>
      </c>
      <c r="I567" s="7"/>
      <c r="J567" s="7"/>
      <c r="K567" s="7" t="s">
        <v>17</v>
      </c>
      <c r="L567" s="7"/>
    </row>
    <row r="568" spans="1:19" x14ac:dyDescent="0.2">
      <c r="A568" s="7" t="s">
        <v>2419</v>
      </c>
      <c r="B568" s="7" t="s">
        <v>1319</v>
      </c>
      <c r="C568" s="7" t="s">
        <v>2549</v>
      </c>
      <c r="D568" s="24"/>
      <c r="E568" s="7" t="s">
        <v>2550</v>
      </c>
      <c r="G568" s="7" t="s">
        <v>2551</v>
      </c>
      <c r="I568" s="7"/>
      <c r="J568" s="7"/>
      <c r="K568" s="7" t="s">
        <v>17</v>
      </c>
      <c r="L568" s="7"/>
    </row>
    <row r="569" spans="1:19" x14ac:dyDescent="0.2">
      <c r="A569" s="45" t="s">
        <v>2553</v>
      </c>
      <c r="B569" s="45" t="s">
        <v>2552</v>
      </c>
      <c r="C569" s="45" t="s">
        <v>2554</v>
      </c>
      <c r="D569" s="48"/>
      <c r="E569" s="45" t="s">
        <v>2555</v>
      </c>
      <c r="F569" s="48"/>
      <c r="G569" s="45" t="s">
        <v>2556</v>
      </c>
      <c r="H569" s="48"/>
      <c r="I569" s="45"/>
      <c r="J569" s="45"/>
      <c r="K569" s="45" t="s">
        <v>17</v>
      </c>
      <c r="L569" s="45"/>
      <c r="M569" s="46"/>
      <c r="N569" s="46"/>
      <c r="O569" s="46"/>
      <c r="P569" s="46"/>
      <c r="Q569" s="46"/>
      <c r="R569" s="46"/>
      <c r="S569" s="46"/>
    </row>
    <row r="570" spans="1:19" x14ac:dyDescent="0.2">
      <c r="A570" s="45" t="s">
        <v>2557</v>
      </c>
      <c r="B570" s="45" t="s">
        <v>3197</v>
      </c>
      <c r="C570" s="45" t="s">
        <v>2558</v>
      </c>
      <c r="D570" s="48"/>
      <c r="E570" s="45" t="s">
        <v>2559</v>
      </c>
      <c r="F570" s="48"/>
      <c r="G570" s="45" t="s">
        <v>2560</v>
      </c>
      <c r="H570" s="48"/>
      <c r="I570" s="45"/>
      <c r="J570" s="45"/>
      <c r="K570" s="45" t="s">
        <v>17</v>
      </c>
      <c r="L570" s="45"/>
      <c r="M570" s="46"/>
      <c r="N570" s="46"/>
      <c r="O570" s="46"/>
      <c r="P570" s="46"/>
      <c r="Q570" s="46"/>
      <c r="R570" s="46"/>
      <c r="S570" s="46"/>
    </row>
    <row r="571" spans="1:19" x14ac:dyDescent="0.2">
      <c r="A571" s="7" t="s">
        <v>2419</v>
      </c>
      <c r="B571" s="7" t="s">
        <v>1320</v>
      </c>
      <c r="C571" s="7" t="s">
        <v>2561</v>
      </c>
      <c r="D571" s="24"/>
      <c r="E571" s="7" t="s">
        <v>2562</v>
      </c>
      <c r="G571" s="7" t="s">
        <v>2563</v>
      </c>
      <c r="I571" s="7"/>
      <c r="J571" s="7"/>
      <c r="K571" s="7" t="s">
        <v>17</v>
      </c>
      <c r="L571" s="7"/>
    </row>
    <row r="572" spans="1:19" x14ac:dyDescent="0.2">
      <c r="A572" s="7" t="s">
        <v>2419</v>
      </c>
      <c r="B572" s="7" t="s">
        <v>1321</v>
      </c>
      <c r="C572" s="7" t="s">
        <v>2564</v>
      </c>
      <c r="D572" s="24"/>
      <c r="E572" s="7" t="s">
        <v>2565</v>
      </c>
      <c r="G572" s="7" t="s">
        <v>2566</v>
      </c>
      <c r="I572" s="7"/>
      <c r="J572" s="7"/>
      <c r="K572" s="7" t="s">
        <v>17</v>
      </c>
      <c r="L572" s="7"/>
    </row>
    <row r="573" spans="1:19" x14ac:dyDescent="0.2">
      <c r="A573" s="7" t="s">
        <v>2419</v>
      </c>
      <c r="B573" s="7" t="s">
        <v>1322</v>
      </c>
      <c r="C573" s="7" t="s">
        <v>2567</v>
      </c>
      <c r="D573" s="24"/>
      <c r="E573" s="7" t="s">
        <v>2568</v>
      </c>
      <c r="G573" s="7" t="s">
        <v>2569</v>
      </c>
      <c r="I573" s="7"/>
      <c r="J573" s="7"/>
      <c r="K573" s="7" t="s">
        <v>17</v>
      </c>
      <c r="L573" s="7"/>
    </row>
    <row r="574" spans="1:19" x14ac:dyDescent="0.2">
      <c r="A574" s="7" t="s">
        <v>2570</v>
      </c>
      <c r="B574" s="7" t="s">
        <v>1323</v>
      </c>
      <c r="C574" s="7" t="s">
        <v>2571</v>
      </c>
      <c r="D574" s="24"/>
      <c r="E574" s="7" t="s">
        <v>2572</v>
      </c>
      <c r="G574" s="7" t="s">
        <v>2573</v>
      </c>
      <c r="I574" s="7"/>
      <c r="J574" s="7"/>
      <c r="K574" s="7" t="s">
        <v>17</v>
      </c>
      <c r="L574" s="7"/>
    </row>
    <row r="575" spans="1:19" x14ac:dyDescent="0.2">
      <c r="A575" s="7" t="s">
        <v>2574</v>
      </c>
      <c r="B575" s="7" t="s">
        <v>1324</v>
      </c>
      <c r="C575" s="7" t="s">
        <v>2575</v>
      </c>
      <c r="D575" s="24"/>
      <c r="E575" s="7" t="s">
        <v>2576</v>
      </c>
      <c r="G575" s="7" t="s">
        <v>2577</v>
      </c>
      <c r="I575" s="7"/>
      <c r="J575" s="7"/>
      <c r="K575" s="7" t="s">
        <v>17</v>
      </c>
      <c r="L575" s="7"/>
    </row>
    <row r="576" spans="1:19" x14ac:dyDescent="0.2">
      <c r="A576" s="7" t="s">
        <v>2578</v>
      </c>
      <c r="B576" s="7" t="s">
        <v>1325</v>
      </c>
      <c r="C576" s="7" t="s">
        <v>2579</v>
      </c>
      <c r="D576" s="24"/>
      <c r="E576" s="7" t="s">
        <v>2580</v>
      </c>
      <c r="G576" s="7" t="s">
        <v>2581</v>
      </c>
      <c r="I576" s="7"/>
      <c r="J576" s="7"/>
      <c r="K576" s="7" t="s">
        <v>17</v>
      </c>
      <c r="L576" s="7"/>
    </row>
    <row r="577" spans="1:19" x14ac:dyDescent="0.2">
      <c r="A577" s="7" t="s">
        <v>2582</v>
      </c>
      <c r="B577" s="7" t="s">
        <v>1326</v>
      </c>
      <c r="C577" s="7" t="s">
        <v>2583</v>
      </c>
      <c r="D577" s="24"/>
      <c r="E577" s="7" t="s">
        <v>2584</v>
      </c>
      <c r="G577" s="7" t="s">
        <v>2585</v>
      </c>
      <c r="I577" s="7"/>
      <c r="J577" s="7"/>
      <c r="K577" s="7" t="s">
        <v>17</v>
      </c>
      <c r="L577" s="7"/>
    </row>
    <row r="578" spans="1:19" x14ac:dyDescent="0.2">
      <c r="A578" s="7" t="s">
        <v>2586</v>
      </c>
      <c r="B578" s="7" t="s">
        <v>1327</v>
      </c>
      <c r="C578" s="7" t="s">
        <v>2587</v>
      </c>
      <c r="D578" s="24"/>
      <c r="E578" s="7" t="s">
        <v>2588</v>
      </c>
      <c r="G578" s="7" t="s">
        <v>2589</v>
      </c>
      <c r="I578" s="7"/>
      <c r="J578" s="7"/>
      <c r="K578" s="7" t="s">
        <v>17</v>
      </c>
      <c r="L578" s="7"/>
    </row>
    <row r="579" spans="1:19" x14ac:dyDescent="0.2">
      <c r="A579" s="7" t="s">
        <v>2590</v>
      </c>
      <c r="B579" s="7" t="s">
        <v>1328</v>
      </c>
      <c r="C579" s="7" t="s">
        <v>2591</v>
      </c>
      <c r="D579" s="24"/>
      <c r="E579" s="7" t="s">
        <v>2592</v>
      </c>
      <c r="G579" s="7" t="s">
        <v>2593</v>
      </c>
      <c r="I579" s="7"/>
      <c r="J579" s="7"/>
      <c r="K579" s="7" t="s">
        <v>17</v>
      </c>
      <c r="L579" s="7"/>
    </row>
    <row r="580" spans="1:19" x14ac:dyDescent="0.2">
      <c r="A580" s="7" t="s">
        <v>2594</v>
      </c>
      <c r="B580" s="7" t="s">
        <v>1329</v>
      </c>
      <c r="C580" s="7" t="s">
        <v>2595</v>
      </c>
      <c r="D580" s="24"/>
      <c r="E580" s="7" t="s">
        <v>2596</v>
      </c>
      <c r="G580" s="7" t="s">
        <v>2597</v>
      </c>
      <c r="I580" s="7"/>
      <c r="J580" s="7"/>
      <c r="K580" s="7" t="s">
        <v>17</v>
      </c>
      <c r="L580" s="7"/>
    </row>
    <row r="581" spans="1:19" x14ac:dyDescent="0.2">
      <c r="A581" s="89" t="s">
        <v>2831</v>
      </c>
      <c r="B581" s="89" t="s">
        <v>1330</v>
      </c>
      <c r="C581" s="89" t="s">
        <v>2832</v>
      </c>
      <c r="D581" s="90"/>
      <c r="E581" s="89" t="s">
        <v>2833</v>
      </c>
      <c r="F581" s="90"/>
      <c r="G581" s="89" t="s">
        <v>2834</v>
      </c>
      <c r="H581" s="90"/>
      <c r="I581" s="89"/>
      <c r="J581" s="89"/>
      <c r="K581" s="89" t="s">
        <v>17</v>
      </c>
      <c r="L581" s="89"/>
      <c r="M581" s="38"/>
      <c r="N581" s="38"/>
      <c r="O581" s="38"/>
      <c r="P581" s="38"/>
      <c r="Q581" s="38"/>
      <c r="R581" s="38"/>
      <c r="S581" s="38"/>
    </row>
    <row r="582" spans="1:19" s="112" customFormat="1" x14ac:dyDescent="0.2">
      <c r="A582" s="91" t="s">
        <v>3893</v>
      </c>
      <c r="B582" s="89" t="s">
        <v>3914</v>
      </c>
      <c r="C582" s="91" t="s">
        <v>3890</v>
      </c>
      <c r="D582" s="92"/>
      <c r="E582" s="91" t="s">
        <v>3891</v>
      </c>
      <c r="F582" s="92"/>
      <c r="G582" s="91" t="s">
        <v>3892</v>
      </c>
      <c r="H582" s="92"/>
      <c r="I582" s="91"/>
      <c r="J582" s="91"/>
      <c r="K582" s="91" t="s">
        <v>17</v>
      </c>
      <c r="L582" s="91"/>
      <c r="M582" s="61"/>
      <c r="N582" s="61"/>
      <c r="O582" s="61"/>
      <c r="P582" s="61"/>
      <c r="Q582" s="61"/>
      <c r="R582" s="61"/>
      <c r="S582" s="61"/>
    </row>
    <row r="583" spans="1:19" x14ac:dyDescent="0.2">
      <c r="A583" s="89" t="s">
        <v>2831</v>
      </c>
      <c r="B583" s="89" t="s">
        <v>3226</v>
      </c>
      <c r="C583" s="89" t="s">
        <v>2835</v>
      </c>
      <c r="D583" s="90"/>
      <c r="E583" s="89" t="s">
        <v>2836</v>
      </c>
      <c r="F583" s="90"/>
      <c r="G583" s="89" t="s">
        <v>2837</v>
      </c>
      <c r="H583" s="90"/>
      <c r="I583" s="89"/>
      <c r="J583" s="89"/>
      <c r="K583" s="89" t="s">
        <v>17</v>
      </c>
      <c r="L583" s="89"/>
      <c r="M583" s="38"/>
      <c r="N583" s="38"/>
      <c r="O583" s="38"/>
      <c r="P583" s="38"/>
      <c r="Q583" s="38"/>
      <c r="R583" s="38"/>
      <c r="S583" s="38"/>
    </row>
    <row r="584" spans="1:19" s="112" customFormat="1" x14ac:dyDescent="0.2">
      <c r="A584" s="91" t="s">
        <v>3913</v>
      </c>
      <c r="B584" s="89" t="s">
        <v>3915</v>
      </c>
      <c r="C584" s="91" t="s">
        <v>3910</v>
      </c>
      <c r="D584" s="92"/>
      <c r="E584" s="91" t="s">
        <v>3911</v>
      </c>
      <c r="F584" s="92"/>
      <c r="G584" s="91" t="s">
        <v>3912</v>
      </c>
      <c r="H584" s="92"/>
      <c r="I584" s="91"/>
      <c r="J584" s="91"/>
      <c r="K584" s="91" t="s">
        <v>17</v>
      </c>
      <c r="L584" s="91"/>
      <c r="M584" s="61"/>
      <c r="N584" s="61"/>
      <c r="O584" s="61"/>
      <c r="P584" s="61"/>
      <c r="Q584" s="61"/>
      <c r="R584" s="61"/>
      <c r="S584" s="61"/>
    </row>
    <row r="585" spans="1:19" x14ac:dyDescent="0.2">
      <c r="A585" s="45" t="s">
        <v>2839</v>
      </c>
      <c r="B585" s="45" t="s">
        <v>3225</v>
      </c>
      <c r="C585" s="45" t="s">
        <v>2840</v>
      </c>
      <c r="D585" s="48"/>
      <c r="E585" s="45" t="s">
        <v>2841</v>
      </c>
      <c r="F585" s="48"/>
      <c r="G585" s="45" t="s">
        <v>3288</v>
      </c>
      <c r="H585" s="48"/>
      <c r="I585" s="45"/>
      <c r="J585" s="45" t="s">
        <v>54</v>
      </c>
      <c r="K585" s="45" t="s">
        <v>17</v>
      </c>
      <c r="L585" s="45"/>
      <c r="M585" s="46"/>
      <c r="N585" s="46"/>
      <c r="O585" s="46"/>
      <c r="P585" s="46"/>
      <c r="Q585" s="46"/>
      <c r="R585" s="46"/>
      <c r="S585" s="46"/>
    </row>
    <row r="586" spans="1:19" x14ac:dyDescent="0.2">
      <c r="A586" s="7" t="s">
        <v>2419</v>
      </c>
      <c r="B586" s="7" t="s">
        <v>2838</v>
      </c>
      <c r="C586" s="7" t="s">
        <v>3227</v>
      </c>
      <c r="D586" s="24"/>
      <c r="E586" s="7" t="s">
        <v>3228</v>
      </c>
      <c r="G586" s="7" t="s">
        <v>3306</v>
      </c>
      <c r="I586" s="7"/>
      <c r="J586" s="7"/>
      <c r="K586" s="7" t="s">
        <v>17</v>
      </c>
      <c r="L586" s="7"/>
    </row>
    <row r="587" spans="1:19" x14ac:dyDescent="0.2">
      <c r="A587" s="7" t="s">
        <v>2419</v>
      </c>
      <c r="B587" s="7" t="s">
        <v>3055</v>
      </c>
      <c r="C587" s="7" t="s">
        <v>3229</v>
      </c>
      <c r="D587" s="7"/>
      <c r="E587" s="7" t="s">
        <v>3230</v>
      </c>
      <c r="F587" s="7"/>
      <c r="G587" s="7" t="s">
        <v>3231</v>
      </c>
      <c r="I587" s="7"/>
      <c r="J587" s="7"/>
      <c r="K587" s="7" t="s">
        <v>17</v>
      </c>
      <c r="L587" s="7"/>
    </row>
    <row r="588" spans="1:19" x14ac:dyDescent="0.2">
      <c r="A588" s="7" t="s">
        <v>3577</v>
      </c>
      <c r="B588" s="7" t="s">
        <v>3563</v>
      </c>
      <c r="C588" s="7" t="s">
        <v>3545</v>
      </c>
      <c r="D588" s="24"/>
      <c r="E588" s="7" t="s">
        <v>3546</v>
      </c>
      <c r="G588" s="7" t="s">
        <v>3547</v>
      </c>
      <c r="I588" s="7"/>
      <c r="J588" s="7"/>
      <c r="K588" s="7" t="s">
        <v>17</v>
      </c>
      <c r="L588" s="7"/>
    </row>
    <row r="589" spans="1:19" x14ac:dyDescent="0.2">
      <c r="A589" s="7" t="s">
        <v>3577</v>
      </c>
      <c r="B589" s="7" t="s">
        <v>3564</v>
      </c>
      <c r="C589" s="7" t="s">
        <v>3548</v>
      </c>
      <c r="D589" s="24"/>
      <c r="E589" s="7" t="s">
        <v>3549</v>
      </c>
      <c r="G589" s="7" t="s">
        <v>3550</v>
      </c>
      <c r="I589" s="7"/>
      <c r="J589" s="7"/>
      <c r="K589" s="7" t="s">
        <v>17</v>
      </c>
      <c r="L589" s="7"/>
    </row>
    <row r="590" spans="1:19" x14ac:dyDescent="0.2">
      <c r="A590" s="7" t="s">
        <v>3588</v>
      </c>
      <c r="B590" s="7" t="s">
        <v>3565</v>
      </c>
      <c r="C590" s="7" t="s">
        <v>3551</v>
      </c>
      <c r="D590" s="24"/>
      <c r="E590" s="7" t="s">
        <v>3552</v>
      </c>
      <c r="G590" s="7" t="s">
        <v>3553</v>
      </c>
      <c r="I590" s="7"/>
      <c r="J590" s="7"/>
      <c r="K590" s="7" t="s">
        <v>17</v>
      </c>
      <c r="L590" s="7"/>
    </row>
    <row r="591" spans="1:19" x14ac:dyDescent="0.2">
      <c r="A591" s="7" t="s">
        <v>3330</v>
      </c>
      <c r="B591" s="7" t="s">
        <v>3566</v>
      </c>
      <c r="C591" s="7" t="s">
        <v>3554</v>
      </c>
      <c r="D591" s="24"/>
      <c r="E591" s="7" t="s">
        <v>3555</v>
      </c>
      <c r="G591" s="7" t="s">
        <v>3556</v>
      </c>
      <c r="I591" s="7"/>
      <c r="J591" s="7"/>
      <c r="K591" s="7" t="s">
        <v>17</v>
      </c>
      <c r="L591" s="7"/>
    </row>
    <row r="592" spans="1:19" x14ac:dyDescent="0.2">
      <c r="A592" s="7" t="s">
        <v>3330</v>
      </c>
      <c r="B592" s="7" t="s">
        <v>3567</v>
      </c>
      <c r="C592" s="7" t="s">
        <v>3557</v>
      </c>
      <c r="D592" s="24"/>
      <c r="E592" s="7" t="s">
        <v>3558</v>
      </c>
      <c r="G592" s="7" t="s">
        <v>3559</v>
      </c>
      <c r="I592" s="7"/>
      <c r="J592" s="7"/>
      <c r="K592" s="7" t="s">
        <v>17</v>
      </c>
      <c r="L592" s="7"/>
    </row>
    <row r="593" spans="1:21" x14ac:dyDescent="0.2">
      <c r="A593" s="7" t="s">
        <v>3330</v>
      </c>
      <c r="B593" s="7" t="s">
        <v>3568</v>
      </c>
      <c r="C593" s="7" t="s">
        <v>3560</v>
      </c>
      <c r="D593" s="24"/>
      <c r="E593" s="7" t="s">
        <v>3561</v>
      </c>
      <c r="G593" s="7" t="s">
        <v>3562</v>
      </c>
      <c r="I593" s="7"/>
      <c r="J593" s="7"/>
      <c r="K593" s="7" t="s">
        <v>17</v>
      </c>
      <c r="L593" s="7"/>
    </row>
    <row r="594" spans="1:21" x14ac:dyDescent="0.2">
      <c r="A594" s="7"/>
      <c r="B594" s="7"/>
      <c r="C594" s="7"/>
      <c r="D594" s="24"/>
      <c r="I594" s="7"/>
      <c r="J594" s="7"/>
      <c r="K594" s="7"/>
      <c r="L594" s="7"/>
    </row>
    <row r="595" spans="1:21" s="120" customFormat="1" x14ac:dyDescent="0.2">
      <c r="A595" s="101" t="s">
        <v>16</v>
      </c>
      <c r="B595" s="101" t="str">
        <f>B597&amp;"_gr"</f>
        <v>vw65a_gr</v>
      </c>
      <c r="C595" s="101"/>
      <c r="D595" s="102"/>
      <c r="E595" s="101"/>
      <c r="F595" s="102"/>
      <c r="G595" s="101"/>
      <c r="H595" s="102"/>
      <c r="I595" s="101"/>
      <c r="J595" s="102"/>
      <c r="K595" s="101"/>
      <c r="L595" s="101"/>
      <c r="M595" s="101"/>
      <c r="N595" s="101"/>
      <c r="O595" s="73"/>
      <c r="P595" s="73" t="s">
        <v>47</v>
      </c>
      <c r="Q595" s="73"/>
      <c r="R595" s="73"/>
      <c r="S595" s="73"/>
      <c r="T595" s="73"/>
      <c r="U595" s="73"/>
    </row>
    <row r="596" spans="1:21" s="120" customFormat="1" x14ac:dyDescent="0.2">
      <c r="A596" s="101" t="s">
        <v>22</v>
      </c>
      <c r="B596" s="101" t="s">
        <v>5692</v>
      </c>
      <c r="C596" s="7" t="s">
        <v>5668</v>
      </c>
      <c r="D596" s="24"/>
      <c r="E596" s="7" t="s">
        <v>5669</v>
      </c>
      <c r="F596" s="102"/>
      <c r="G596" s="101" t="s">
        <v>5670</v>
      </c>
      <c r="H596" s="102"/>
      <c r="I596" s="101"/>
      <c r="J596" s="102"/>
      <c r="K596" s="101"/>
      <c r="L596" s="101"/>
      <c r="M596" s="101"/>
      <c r="N596" s="101"/>
      <c r="O596" s="73"/>
      <c r="P596" s="73"/>
      <c r="Q596" s="73"/>
      <c r="R596" s="73"/>
      <c r="S596" s="73"/>
      <c r="T596" s="73"/>
      <c r="U596" s="73"/>
    </row>
    <row r="597" spans="1:21" x14ac:dyDescent="0.2">
      <c r="A597" s="7" t="s">
        <v>5693</v>
      </c>
      <c r="B597" s="7" t="s">
        <v>5694</v>
      </c>
      <c r="C597" s="24" t="s">
        <v>5671</v>
      </c>
      <c r="D597" s="104"/>
      <c r="E597" s="24" t="s">
        <v>5678</v>
      </c>
      <c r="F597" s="104"/>
      <c r="G597" s="24" t="s">
        <v>5685</v>
      </c>
      <c r="H597" s="104"/>
      <c r="I597" s="7"/>
      <c r="J597" s="7"/>
      <c r="K597" s="7" t="s">
        <v>17</v>
      </c>
      <c r="L597" s="7"/>
    </row>
    <row r="598" spans="1:21" x14ac:dyDescent="0.2">
      <c r="A598" s="7" t="s">
        <v>5693</v>
      </c>
      <c r="B598" s="7" t="s">
        <v>5695</v>
      </c>
      <c r="C598" s="24" t="s">
        <v>5672</v>
      </c>
      <c r="D598" s="104"/>
      <c r="E598" s="24" t="s">
        <v>5679</v>
      </c>
      <c r="F598" s="104"/>
      <c r="G598" s="24" t="s">
        <v>5686</v>
      </c>
      <c r="H598" s="104"/>
      <c r="I598" s="7"/>
      <c r="J598" s="7"/>
      <c r="K598" s="7" t="s">
        <v>17</v>
      </c>
      <c r="L598" s="7"/>
    </row>
    <row r="599" spans="1:21" x14ac:dyDescent="0.2">
      <c r="A599" s="7" t="s">
        <v>5693</v>
      </c>
      <c r="B599" s="7" t="s">
        <v>5696</v>
      </c>
      <c r="C599" s="24" t="s">
        <v>5673</v>
      </c>
      <c r="D599" s="104"/>
      <c r="E599" s="24" t="s">
        <v>5680</v>
      </c>
      <c r="F599" s="104"/>
      <c r="G599" s="24" t="s">
        <v>5687</v>
      </c>
      <c r="H599" s="104"/>
      <c r="I599" s="7"/>
      <c r="J599" s="7"/>
      <c r="K599" s="7" t="s">
        <v>17</v>
      </c>
      <c r="L599" s="7"/>
    </row>
    <row r="600" spans="1:21" x14ac:dyDescent="0.2">
      <c r="A600" s="7" t="s">
        <v>5693</v>
      </c>
      <c r="B600" s="7" t="s">
        <v>5697</v>
      </c>
      <c r="C600" s="24" t="s">
        <v>5674</v>
      </c>
      <c r="D600" s="104"/>
      <c r="E600" s="24" t="s">
        <v>5681</v>
      </c>
      <c r="F600" s="104"/>
      <c r="G600" s="24" t="s">
        <v>5688</v>
      </c>
      <c r="H600" s="104"/>
      <c r="I600" s="7"/>
      <c r="J600" s="7"/>
      <c r="K600" s="7" t="s">
        <v>17</v>
      </c>
      <c r="L600" s="7"/>
    </row>
    <row r="601" spans="1:21" x14ac:dyDescent="0.2">
      <c r="A601" s="7" t="s">
        <v>5693</v>
      </c>
      <c r="B601" s="7" t="s">
        <v>5698</v>
      </c>
      <c r="C601" s="24" t="s">
        <v>5675</v>
      </c>
      <c r="D601" s="104"/>
      <c r="E601" s="24" t="s">
        <v>5682</v>
      </c>
      <c r="F601" s="104"/>
      <c r="G601" s="24" t="s">
        <v>5689</v>
      </c>
      <c r="H601" s="104"/>
      <c r="I601" s="7"/>
      <c r="J601" s="7"/>
      <c r="K601" s="7" t="s">
        <v>17</v>
      </c>
      <c r="L601" s="7"/>
    </row>
    <row r="602" spans="1:21" x14ac:dyDescent="0.2">
      <c r="A602" s="7" t="s">
        <v>5693</v>
      </c>
      <c r="B602" s="7" t="s">
        <v>5699</v>
      </c>
      <c r="C602" s="24" t="s">
        <v>5676</v>
      </c>
      <c r="D602" s="104"/>
      <c r="E602" s="24" t="s">
        <v>5683</v>
      </c>
      <c r="F602" s="104"/>
      <c r="G602" s="24" t="s">
        <v>5690</v>
      </c>
      <c r="H602" s="104"/>
      <c r="I602" s="7"/>
      <c r="J602" s="7"/>
      <c r="K602" s="7" t="s">
        <v>17</v>
      </c>
      <c r="L602" s="7"/>
    </row>
    <row r="603" spans="1:21" x14ac:dyDescent="0.2">
      <c r="A603" s="7" t="s">
        <v>5693</v>
      </c>
      <c r="B603" s="7" t="s">
        <v>5700</v>
      </c>
      <c r="C603" s="24" t="s">
        <v>5677</v>
      </c>
      <c r="D603" s="104"/>
      <c r="E603" s="24" t="s">
        <v>5684</v>
      </c>
      <c r="F603" s="104"/>
      <c r="G603" s="24" t="s">
        <v>5691</v>
      </c>
      <c r="H603" s="104"/>
      <c r="I603" s="7"/>
      <c r="J603" s="7"/>
      <c r="K603" s="7" t="s">
        <v>17</v>
      </c>
      <c r="L603" s="7"/>
    </row>
    <row r="604" spans="1:21" s="120" customFormat="1" x14ac:dyDescent="0.2">
      <c r="A604" s="101" t="s">
        <v>48</v>
      </c>
      <c r="B604" s="101" t="s">
        <v>2800</v>
      </c>
      <c r="C604" s="101"/>
      <c r="D604" s="102"/>
      <c r="E604" s="101"/>
      <c r="F604" s="102"/>
      <c r="G604" s="101"/>
      <c r="H604" s="102"/>
      <c r="I604" s="101"/>
      <c r="J604" s="102"/>
      <c r="K604" s="101"/>
      <c r="L604" s="101"/>
      <c r="M604" s="101"/>
      <c r="N604" s="101"/>
      <c r="O604" s="73"/>
      <c r="P604" s="73"/>
      <c r="Q604" s="73"/>
      <c r="R604" s="73"/>
      <c r="S604" s="73"/>
      <c r="T604" s="73"/>
      <c r="U604" s="73"/>
    </row>
    <row r="605" spans="1:21" x14ac:dyDescent="0.2">
      <c r="A605" s="7"/>
      <c r="B605" s="7"/>
      <c r="C605" s="7"/>
      <c r="D605" s="24"/>
      <c r="I605" s="7"/>
      <c r="J605" s="7"/>
      <c r="K605" s="7"/>
      <c r="L605" s="7"/>
    </row>
    <row r="606" spans="1:21" x14ac:dyDescent="0.2">
      <c r="A606" s="7"/>
      <c r="B606" s="7"/>
      <c r="C606" s="7"/>
      <c r="D606" s="24"/>
      <c r="I606" s="7"/>
      <c r="J606" s="7"/>
      <c r="K606" s="7"/>
      <c r="L606" s="7"/>
    </row>
    <row r="607" spans="1:21" x14ac:dyDescent="0.2">
      <c r="A607" s="7"/>
      <c r="B607" s="7"/>
      <c r="C607" s="7"/>
      <c r="D607" s="24"/>
      <c r="I607" s="7"/>
      <c r="J607" s="7"/>
      <c r="K607" s="7"/>
      <c r="L607" s="7"/>
    </row>
    <row r="608" spans="1:21" x14ac:dyDescent="0.2">
      <c r="A608" s="7"/>
      <c r="B608" s="7"/>
      <c r="C608" s="7"/>
      <c r="D608" s="24"/>
      <c r="I608" s="7"/>
      <c r="J608" s="7"/>
      <c r="K608" s="7"/>
      <c r="L608" s="7"/>
    </row>
    <row r="609" spans="1:19" x14ac:dyDescent="0.2">
      <c r="A609" s="7"/>
      <c r="B609" s="7"/>
      <c r="C609" s="7"/>
      <c r="D609" s="24"/>
      <c r="I609" s="7"/>
      <c r="J609" s="7"/>
      <c r="K609" s="7"/>
      <c r="L609" s="7"/>
    </row>
    <row r="610" spans="1:19" x14ac:dyDescent="0.2">
      <c r="A610" s="7"/>
      <c r="B610" s="7"/>
      <c r="C610" s="7"/>
      <c r="D610" s="24"/>
      <c r="I610" s="7"/>
      <c r="J610" s="7"/>
      <c r="K610" s="7"/>
      <c r="L610" s="7"/>
    </row>
    <row r="611" spans="1:19" ht="18.75" x14ac:dyDescent="0.2">
      <c r="A611" s="35" t="s">
        <v>48</v>
      </c>
      <c r="B611" s="65" t="s">
        <v>2800</v>
      </c>
      <c r="C611" s="35"/>
      <c r="D611" s="83"/>
      <c r="E611" s="65"/>
      <c r="F611" s="64"/>
      <c r="G611" s="65"/>
      <c r="H611" s="64"/>
      <c r="I611" s="35"/>
      <c r="J611" s="35"/>
      <c r="K611" s="35"/>
      <c r="L611" s="35"/>
      <c r="M611" s="35"/>
      <c r="N611" s="35"/>
      <c r="O611" s="35"/>
      <c r="P611" s="35"/>
      <c r="Q611" s="35"/>
      <c r="R611" s="35"/>
      <c r="S611" s="35"/>
    </row>
    <row r="612" spans="1:19" x14ac:dyDescent="0.2">
      <c r="A612" s="7" t="s">
        <v>1902</v>
      </c>
      <c r="B612" s="7" t="s">
        <v>2801</v>
      </c>
      <c r="C612" s="7" t="s">
        <v>773</v>
      </c>
      <c r="D612" s="24" t="s">
        <v>756</v>
      </c>
      <c r="E612" s="7" t="s">
        <v>815</v>
      </c>
      <c r="F612" s="24" t="s">
        <v>2186</v>
      </c>
      <c r="G612" s="7" t="s">
        <v>3044</v>
      </c>
      <c r="H612" s="24" t="s">
        <v>3024</v>
      </c>
      <c r="I612" s="7"/>
      <c r="J612" s="7" t="s">
        <v>806</v>
      </c>
      <c r="K612" s="7" t="s">
        <v>17</v>
      </c>
      <c r="O612" s="7" t="s">
        <v>29</v>
      </c>
    </row>
    <row r="613" spans="1:19" x14ac:dyDescent="0.2">
      <c r="A613" s="25" t="s">
        <v>21</v>
      </c>
      <c r="B613" s="25" t="s">
        <v>819</v>
      </c>
      <c r="C613" s="25"/>
      <c r="D613" s="26"/>
      <c r="E613" s="25"/>
      <c r="F613" s="26"/>
      <c r="G613" s="25"/>
      <c r="H613" s="26"/>
      <c r="I613" s="25"/>
      <c r="J613" s="25"/>
      <c r="K613" s="25"/>
      <c r="L613" s="25"/>
      <c r="M613" s="25" t="s">
        <v>2802</v>
      </c>
      <c r="N613" s="25"/>
      <c r="O613" s="25"/>
      <c r="P613" s="25"/>
      <c r="Q613" s="25"/>
      <c r="R613" s="25"/>
      <c r="S613" s="25"/>
    </row>
    <row r="614" spans="1:19" x14ac:dyDescent="0.2">
      <c r="A614" s="7"/>
      <c r="B614" s="7"/>
      <c r="C614" s="7"/>
      <c r="D614" s="24"/>
      <c r="I614" s="7"/>
      <c r="J614" s="7"/>
      <c r="K614" s="7"/>
    </row>
    <row r="615" spans="1:19" s="105" customFormat="1" ht="48.75" customHeight="1" x14ac:dyDescent="0.25">
      <c r="A615" s="65" t="s">
        <v>16</v>
      </c>
      <c r="B615" s="65" t="s">
        <v>63</v>
      </c>
      <c r="C615" s="65" t="s">
        <v>1604</v>
      </c>
      <c r="D615" s="64"/>
      <c r="E615" s="65" t="s">
        <v>1603</v>
      </c>
      <c r="F615" s="64"/>
      <c r="G615" s="65" t="s">
        <v>1602</v>
      </c>
      <c r="H615" s="64"/>
      <c r="I615" s="65"/>
      <c r="J615" s="35"/>
      <c r="K615" s="35"/>
      <c r="L615" s="35"/>
      <c r="M615" s="35"/>
      <c r="N615" s="35"/>
      <c r="O615" s="35" t="s">
        <v>29</v>
      </c>
      <c r="P615" s="35"/>
      <c r="Q615" s="35"/>
      <c r="R615" s="35"/>
      <c r="S615" s="35"/>
    </row>
    <row r="616" spans="1:19" x14ac:dyDescent="0.2">
      <c r="A616" s="7" t="s">
        <v>1886</v>
      </c>
      <c r="B616" s="7" t="s">
        <v>1639</v>
      </c>
      <c r="C616" s="7" t="s">
        <v>2598</v>
      </c>
      <c r="D616" s="24"/>
      <c r="E616" s="7" t="s">
        <v>2599</v>
      </c>
      <c r="G616" s="7" t="s">
        <v>2600</v>
      </c>
      <c r="I616" s="7"/>
      <c r="J616" s="7"/>
      <c r="K616" s="7" t="s">
        <v>17</v>
      </c>
    </row>
    <row r="617" spans="1:19" x14ac:dyDescent="0.2">
      <c r="A617" s="7" t="s">
        <v>28</v>
      </c>
      <c r="B617" s="7" t="s">
        <v>1640</v>
      </c>
      <c r="C617" s="7" t="s">
        <v>2601</v>
      </c>
      <c r="D617" s="24"/>
      <c r="E617" s="7" t="s">
        <v>2602</v>
      </c>
      <c r="G617" s="7" t="s">
        <v>2603</v>
      </c>
      <c r="I617" s="7"/>
      <c r="J617" s="7" t="s">
        <v>4401</v>
      </c>
      <c r="K617" s="7" t="s">
        <v>17</v>
      </c>
      <c r="O617" s="7" t="s">
        <v>1652</v>
      </c>
      <c r="P617" s="8" t="s">
        <v>605</v>
      </c>
    </row>
    <row r="618" spans="1:19" x14ac:dyDescent="0.2">
      <c r="A618" s="7" t="s">
        <v>1886</v>
      </c>
      <c r="B618" s="7" t="s">
        <v>1641</v>
      </c>
      <c r="C618" s="7" t="s">
        <v>2604</v>
      </c>
      <c r="D618" s="24"/>
      <c r="E618" s="7" t="s">
        <v>2605</v>
      </c>
      <c r="G618" s="7" t="s">
        <v>2606</v>
      </c>
      <c r="I618" s="7"/>
      <c r="J618" s="7"/>
      <c r="K618" s="7" t="s">
        <v>17</v>
      </c>
      <c r="O618" s="7"/>
    </row>
    <row r="619" spans="1:19" x14ac:dyDescent="0.2">
      <c r="A619" s="45" t="s">
        <v>2609</v>
      </c>
      <c r="B619" s="45" t="s">
        <v>2607</v>
      </c>
      <c r="C619" s="45" t="s">
        <v>2610</v>
      </c>
      <c r="D619" s="48" t="s">
        <v>2611</v>
      </c>
      <c r="E619" s="45" t="s">
        <v>542</v>
      </c>
      <c r="F619" s="48" t="s">
        <v>2612</v>
      </c>
      <c r="G619" s="45" t="s">
        <v>1605</v>
      </c>
      <c r="H619" s="48" t="s">
        <v>2613</v>
      </c>
      <c r="I619" s="45"/>
      <c r="J619" s="45" t="s">
        <v>54</v>
      </c>
      <c r="K619" s="45" t="s">
        <v>17</v>
      </c>
      <c r="L619" s="46"/>
      <c r="M619" s="46"/>
      <c r="N619" s="46"/>
      <c r="O619" s="7" t="s">
        <v>1653</v>
      </c>
      <c r="P619" s="46"/>
      <c r="Q619" s="46"/>
      <c r="R619" s="46"/>
      <c r="S619" s="46"/>
    </row>
    <row r="620" spans="1:19" x14ac:dyDescent="0.2">
      <c r="A620" s="7" t="s">
        <v>26</v>
      </c>
      <c r="B620" s="7" t="s">
        <v>2614</v>
      </c>
      <c r="C620" s="7" t="s">
        <v>320</v>
      </c>
      <c r="D620" s="24"/>
      <c r="E620" s="7" t="s">
        <v>61</v>
      </c>
      <c r="G620" s="7" t="s">
        <v>1219</v>
      </c>
      <c r="I620" s="63"/>
      <c r="J620" s="7"/>
      <c r="K620" s="7" t="s">
        <v>17</v>
      </c>
      <c r="O620" s="8" t="s">
        <v>2987</v>
      </c>
    </row>
    <row r="621" spans="1:19" x14ac:dyDescent="0.2">
      <c r="A621" s="7" t="s">
        <v>28</v>
      </c>
      <c r="B621" s="7" t="s">
        <v>1642</v>
      </c>
      <c r="C621" s="7" t="s">
        <v>2601</v>
      </c>
      <c r="D621" s="24"/>
      <c r="E621" s="7" t="s">
        <v>2615</v>
      </c>
      <c r="G621" s="7" t="s">
        <v>2616</v>
      </c>
      <c r="I621" s="7"/>
      <c r="J621" s="7"/>
      <c r="K621" s="7" t="s">
        <v>17</v>
      </c>
      <c r="O621" s="7" t="s">
        <v>1653</v>
      </c>
      <c r="P621" s="8" t="s">
        <v>605</v>
      </c>
    </row>
    <row r="622" spans="1:19" x14ac:dyDescent="0.2">
      <c r="A622" s="7" t="s">
        <v>1886</v>
      </c>
      <c r="B622" s="7" t="s">
        <v>1643</v>
      </c>
      <c r="C622" s="7" t="s">
        <v>2617</v>
      </c>
      <c r="D622" s="24"/>
      <c r="E622" s="7" t="s">
        <v>2618</v>
      </c>
      <c r="G622" s="7" t="s">
        <v>2619</v>
      </c>
      <c r="I622" s="7"/>
      <c r="J622" s="7"/>
      <c r="K622" s="7" t="s">
        <v>17</v>
      </c>
      <c r="O622" s="7"/>
    </row>
    <row r="623" spans="1:19" x14ac:dyDescent="0.2">
      <c r="A623" s="7" t="s">
        <v>28</v>
      </c>
      <c r="B623" s="7" t="s">
        <v>1644</v>
      </c>
      <c r="C623" s="7" t="s">
        <v>2601</v>
      </c>
      <c r="D623" s="24"/>
      <c r="E623" s="7" t="s">
        <v>2620</v>
      </c>
      <c r="G623" s="7" t="s">
        <v>2621</v>
      </c>
      <c r="I623" s="7"/>
      <c r="J623" s="7"/>
      <c r="K623" s="7" t="s">
        <v>17</v>
      </c>
      <c r="O623" s="7" t="s">
        <v>1654</v>
      </c>
      <c r="P623" s="8" t="s">
        <v>605</v>
      </c>
    </row>
    <row r="624" spans="1:19" x14ac:dyDescent="0.2">
      <c r="A624" s="7" t="s">
        <v>1886</v>
      </c>
      <c r="B624" s="7" t="s">
        <v>1645</v>
      </c>
      <c r="C624" s="7" t="s">
        <v>2622</v>
      </c>
      <c r="D624" s="24"/>
      <c r="E624" s="7" t="s">
        <v>2623</v>
      </c>
      <c r="G624" s="7" t="s">
        <v>2624</v>
      </c>
      <c r="I624" s="7"/>
      <c r="J624" s="7"/>
      <c r="K624" s="7" t="s">
        <v>17</v>
      </c>
      <c r="O624" s="7"/>
    </row>
    <row r="625" spans="1:19" x14ac:dyDescent="0.2">
      <c r="A625" s="7" t="s">
        <v>28</v>
      </c>
      <c r="B625" s="7" t="s">
        <v>1646</v>
      </c>
      <c r="C625" s="7" t="s">
        <v>2601</v>
      </c>
      <c r="D625" s="24"/>
      <c r="E625" s="7" t="s">
        <v>2625</v>
      </c>
      <c r="G625" s="7" t="s">
        <v>2626</v>
      </c>
      <c r="I625" s="7"/>
      <c r="J625" s="7"/>
      <c r="K625" s="7" t="s">
        <v>17</v>
      </c>
      <c r="O625" s="7" t="s">
        <v>1655</v>
      </c>
      <c r="P625" s="8" t="s">
        <v>605</v>
      </c>
    </row>
    <row r="626" spans="1:19" x14ac:dyDescent="0.2">
      <c r="A626" s="7" t="s">
        <v>1886</v>
      </c>
      <c r="B626" s="7" t="s">
        <v>1647</v>
      </c>
      <c r="C626" s="7" t="s">
        <v>2627</v>
      </c>
      <c r="D626" s="24"/>
      <c r="E626" s="7" t="s">
        <v>2628</v>
      </c>
      <c r="G626" s="7" t="s">
        <v>2629</v>
      </c>
      <c r="I626" s="7"/>
      <c r="J626" s="7"/>
      <c r="K626" s="7" t="s">
        <v>17</v>
      </c>
      <c r="O626" s="7"/>
    </row>
    <row r="627" spans="1:19" x14ac:dyDescent="0.2">
      <c r="A627" s="7" t="s">
        <v>28</v>
      </c>
      <c r="B627" s="7" t="s">
        <v>1648</v>
      </c>
      <c r="C627" s="7" t="s">
        <v>2601</v>
      </c>
      <c r="D627" s="24"/>
      <c r="E627" s="7" t="s">
        <v>2630</v>
      </c>
      <c r="G627" s="7" t="s">
        <v>2631</v>
      </c>
      <c r="I627" s="7"/>
      <c r="J627" s="7"/>
      <c r="K627" s="7" t="s">
        <v>17</v>
      </c>
      <c r="O627" s="7" t="s">
        <v>1656</v>
      </c>
      <c r="P627" s="8" t="s">
        <v>605</v>
      </c>
    </row>
    <row r="628" spans="1:19" x14ac:dyDescent="0.2">
      <c r="A628" s="7" t="s">
        <v>1886</v>
      </c>
      <c r="B628" s="7" t="s">
        <v>1649</v>
      </c>
      <c r="C628" s="7" t="s">
        <v>2632</v>
      </c>
      <c r="D628" s="24"/>
      <c r="E628" s="7" t="s">
        <v>2633</v>
      </c>
      <c r="G628" s="7" t="s">
        <v>2634</v>
      </c>
      <c r="I628" s="7"/>
      <c r="J628" s="7"/>
      <c r="K628" s="7" t="s">
        <v>17</v>
      </c>
      <c r="O628" s="7"/>
    </row>
    <row r="629" spans="1:19" x14ac:dyDescent="0.2">
      <c r="A629" s="7" t="s">
        <v>28</v>
      </c>
      <c r="B629" s="7" t="s">
        <v>1650</v>
      </c>
      <c r="C629" s="7" t="s">
        <v>2601</v>
      </c>
      <c r="D629" s="24"/>
      <c r="E629" s="7" t="s">
        <v>2635</v>
      </c>
      <c r="G629" s="7" t="s">
        <v>2636</v>
      </c>
      <c r="I629" s="7"/>
      <c r="J629" s="7"/>
      <c r="K629" s="7" t="s">
        <v>17</v>
      </c>
      <c r="O629" s="7" t="s">
        <v>1657</v>
      </c>
      <c r="P629" s="8" t="s">
        <v>605</v>
      </c>
    </row>
    <row r="630" spans="1:19" x14ac:dyDescent="0.2">
      <c r="A630" s="7" t="s">
        <v>3601</v>
      </c>
      <c r="B630" s="7" t="s">
        <v>3589</v>
      </c>
      <c r="C630" s="7" t="s">
        <v>3590</v>
      </c>
      <c r="D630" s="24"/>
      <c r="E630" s="7" t="s">
        <v>3591</v>
      </c>
      <c r="G630" s="7" t="s">
        <v>3592</v>
      </c>
      <c r="I630" s="7"/>
      <c r="J630" s="7"/>
      <c r="K630" s="7" t="s">
        <v>17</v>
      </c>
      <c r="O630" s="7"/>
    </row>
    <row r="631" spans="1:19" x14ac:dyDescent="0.2">
      <c r="B631" s="7"/>
      <c r="C631" s="7"/>
    </row>
    <row r="632" spans="1:19" ht="18.75" x14ac:dyDescent="0.2">
      <c r="A632" s="35" t="s">
        <v>48</v>
      </c>
      <c r="B632" s="65" t="s">
        <v>63</v>
      </c>
      <c r="C632" s="35"/>
      <c r="D632" s="83"/>
      <c r="E632" s="65"/>
      <c r="F632" s="64"/>
      <c r="G632" s="65"/>
      <c r="H632" s="64"/>
      <c r="I632" s="35"/>
      <c r="J632" s="35"/>
      <c r="K632" s="35"/>
      <c r="L632" s="35"/>
      <c r="M632" s="35"/>
      <c r="N632" s="35"/>
      <c r="O632" s="35"/>
      <c r="P632" s="35"/>
      <c r="Q632" s="35"/>
      <c r="R632" s="35"/>
      <c r="S632" s="35"/>
    </row>
    <row r="633" spans="1:19" x14ac:dyDescent="0.2">
      <c r="A633" s="7" t="s">
        <v>1902</v>
      </c>
      <c r="B633" s="7" t="s">
        <v>774</v>
      </c>
      <c r="C633" s="7" t="s">
        <v>775</v>
      </c>
      <c r="D633" s="24" t="s">
        <v>756</v>
      </c>
      <c r="E633" s="7" t="s">
        <v>816</v>
      </c>
      <c r="F633" s="24" t="s">
        <v>2186</v>
      </c>
      <c r="G633" s="7" t="s">
        <v>3045</v>
      </c>
      <c r="H633" s="24" t="s">
        <v>3024</v>
      </c>
      <c r="I633" s="7"/>
      <c r="J633" s="7" t="s">
        <v>806</v>
      </c>
      <c r="K633" s="7" t="s">
        <v>17</v>
      </c>
      <c r="O633" s="7" t="s">
        <v>29</v>
      </c>
    </row>
    <row r="634" spans="1:19" x14ac:dyDescent="0.2">
      <c r="A634" s="25" t="s">
        <v>21</v>
      </c>
      <c r="B634" s="25" t="s">
        <v>3271</v>
      </c>
      <c r="C634" s="25"/>
      <c r="D634" s="26"/>
      <c r="E634" s="25"/>
      <c r="F634" s="26"/>
      <c r="G634" s="25"/>
      <c r="H634" s="26"/>
      <c r="I634" s="25"/>
      <c r="J634" s="25"/>
      <c r="K634" s="25"/>
      <c r="L634" s="25"/>
      <c r="M634" s="25" t="s">
        <v>776</v>
      </c>
      <c r="N634" s="25"/>
      <c r="O634" s="25"/>
      <c r="P634" s="25"/>
      <c r="Q634" s="25"/>
      <c r="R634" s="25"/>
      <c r="S634" s="25"/>
    </row>
    <row r="635" spans="1:19" x14ac:dyDescent="0.2">
      <c r="A635" s="7"/>
      <c r="B635" s="7"/>
      <c r="C635" s="7"/>
      <c r="D635" s="24"/>
      <c r="I635" s="7"/>
      <c r="J635" s="7"/>
      <c r="K635" s="7"/>
    </row>
    <row r="636" spans="1:19" s="105" customFormat="1" ht="48.75" customHeight="1" x14ac:dyDescent="0.25">
      <c r="A636" s="65" t="s">
        <v>16</v>
      </c>
      <c r="B636" s="65" t="s">
        <v>2842</v>
      </c>
      <c r="C636" s="65" t="s">
        <v>2650</v>
      </c>
      <c r="D636" s="64"/>
      <c r="E636" s="65" t="s">
        <v>3272</v>
      </c>
      <c r="F636" s="64"/>
      <c r="G636" s="65" t="s">
        <v>1651</v>
      </c>
      <c r="H636" s="64"/>
      <c r="I636" s="65"/>
      <c r="J636" s="35"/>
      <c r="K636" s="35"/>
      <c r="L636" s="35"/>
      <c r="M636" s="35"/>
      <c r="N636" s="35"/>
      <c r="O636" s="35" t="s">
        <v>29</v>
      </c>
      <c r="P636" s="35"/>
      <c r="Q636" s="35"/>
      <c r="R636" s="35"/>
      <c r="S636" s="35"/>
    </row>
    <row r="637" spans="1:19" x14ac:dyDescent="0.2">
      <c r="A637" s="7" t="s">
        <v>1886</v>
      </c>
      <c r="B637" s="7" t="s">
        <v>1658</v>
      </c>
      <c r="C637" s="7" t="s">
        <v>2637</v>
      </c>
      <c r="D637" s="24"/>
      <c r="E637" s="7" t="s">
        <v>2638</v>
      </c>
      <c r="G637" s="7" t="s">
        <v>2639</v>
      </c>
      <c r="I637" s="7"/>
      <c r="J637" s="7"/>
      <c r="K637" s="7" t="s">
        <v>17</v>
      </c>
    </row>
    <row r="638" spans="1:19" x14ac:dyDescent="0.2">
      <c r="A638" s="7" t="s">
        <v>1886</v>
      </c>
      <c r="B638" s="7" t="s">
        <v>1659</v>
      </c>
      <c r="C638" s="7" t="s">
        <v>2640</v>
      </c>
      <c r="D638" s="24"/>
      <c r="E638" s="7" t="s">
        <v>2641</v>
      </c>
      <c r="G638" s="7" t="s">
        <v>2642</v>
      </c>
      <c r="I638" s="7"/>
      <c r="J638" s="7"/>
      <c r="K638" s="7" t="s">
        <v>17</v>
      </c>
    </row>
    <row r="639" spans="1:19" x14ac:dyDescent="0.2">
      <c r="A639" s="7" t="s">
        <v>28</v>
      </c>
      <c r="B639" s="7" t="s">
        <v>1660</v>
      </c>
      <c r="C639" s="7" t="s">
        <v>2643</v>
      </c>
      <c r="D639" s="24"/>
      <c r="E639" s="7" t="s">
        <v>2644</v>
      </c>
      <c r="G639" s="7" t="s">
        <v>2645</v>
      </c>
      <c r="I639" s="7"/>
      <c r="J639" s="7" t="s">
        <v>3224</v>
      </c>
      <c r="K639" s="7" t="s">
        <v>17</v>
      </c>
      <c r="O639" s="7" t="s">
        <v>1686</v>
      </c>
      <c r="P639" s="8" t="s">
        <v>605</v>
      </c>
    </row>
    <row r="640" spans="1:19" x14ac:dyDescent="0.2">
      <c r="A640" s="7" t="s">
        <v>2646</v>
      </c>
      <c r="B640" s="7" t="s">
        <v>1661</v>
      </c>
      <c r="C640" s="7" t="s">
        <v>2647</v>
      </c>
      <c r="D640" s="24"/>
      <c r="E640" s="7" t="s">
        <v>2648</v>
      </c>
      <c r="G640" s="7" t="s">
        <v>2649</v>
      </c>
      <c r="I640" s="7"/>
      <c r="J640" s="7"/>
      <c r="K640" s="7" t="s">
        <v>17</v>
      </c>
      <c r="O640" s="7" t="s">
        <v>1686</v>
      </c>
    </row>
    <row r="641" spans="1:19" x14ac:dyDescent="0.2">
      <c r="A641" s="7" t="s">
        <v>26</v>
      </c>
      <c r="B641" s="7" t="s">
        <v>2664</v>
      </c>
      <c r="C641" s="7" t="s">
        <v>320</v>
      </c>
      <c r="D641" s="24"/>
      <c r="E641" s="7" t="s">
        <v>61</v>
      </c>
      <c r="G641" s="7" t="s">
        <v>3046</v>
      </c>
      <c r="I641" s="63"/>
      <c r="J641" s="7"/>
      <c r="K641" s="7" t="s">
        <v>17</v>
      </c>
      <c r="O641" s="7" t="s">
        <v>1687</v>
      </c>
    </row>
    <row r="642" spans="1:19" x14ac:dyDescent="0.2">
      <c r="A642" s="7" t="s">
        <v>1886</v>
      </c>
      <c r="B642" s="7" t="s">
        <v>1662</v>
      </c>
      <c r="C642" s="7" t="s">
        <v>2665</v>
      </c>
      <c r="D642" s="24"/>
      <c r="E642" s="7" t="s">
        <v>2666</v>
      </c>
      <c r="G642" s="7" t="s">
        <v>2667</v>
      </c>
      <c r="I642" s="7"/>
      <c r="J642" s="7"/>
      <c r="K642" s="7" t="s">
        <v>17</v>
      </c>
      <c r="N642" s="7"/>
      <c r="O642" s="7"/>
      <c r="R642" s="36"/>
    </row>
    <row r="643" spans="1:19" x14ac:dyDescent="0.2">
      <c r="A643" s="7" t="s">
        <v>1886</v>
      </c>
      <c r="B643" s="7" t="s">
        <v>1663</v>
      </c>
      <c r="C643" s="7" t="s">
        <v>2668</v>
      </c>
      <c r="D643" s="24"/>
      <c r="E643" s="7" t="s">
        <v>2669</v>
      </c>
      <c r="G643" s="7" t="s">
        <v>2670</v>
      </c>
      <c r="I643" s="7"/>
      <c r="J643" s="7"/>
      <c r="K643" s="7" t="s">
        <v>17</v>
      </c>
      <c r="N643" s="7"/>
      <c r="O643" s="7" t="s">
        <v>1688</v>
      </c>
      <c r="R643" s="36"/>
    </row>
    <row r="644" spans="1:19" x14ac:dyDescent="0.2">
      <c r="A644" s="7" t="s">
        <v>1886</v>
      </c>
      <c r="B644" s="7" t="s">
        <v>1664</v>
      </c>
      <c r="C644" s="7" t="s">
        <v>2671</v>
      </c>
      <c r="D644" s="24"/>
      <c r="E644" s="7" t="s">
        <v>2672</v>
      </c>
      <c r="G644" s="7" t="s">
        <v>2673</v>
      </c>
      <c r="I644" s="7"/>
      <c r="J644" s="7"/>
      <c r="K644" s="7" t="s">
        <v>17</v>
      </c>
      <c r="O644" s="7" t="s">
        <v>1688</v>
      </c>
    </row>
    <row r="645" spans="1:19" x14ac:dyDescent="0.2">
      <c r="A645" s="7" t="s">
        <v>3606</v>
      </c>
      <c r="B645" s="7" t="s">
        <v>3605</v>
      </c>
      <c r="C645" s="7" t="s">
        <v>3602</v>
      </c>
      <c r="D645" s="24"/>
      <c r="E645" s="7" t="s">
        <v>3603</v>
      </c>
      <c r="G645" s="7" t="s">
        <v>3604</v>
      </c>
      <c r="I645" s="7"/>
      <c r="J645" s="7"/>
      <c r="K645" s="7" t="s">
        <v>17</v>
      </c>
      <c r="O645" s="7"/>
    </row>
    <row r="646" spans="1:19" ht="18.75" x14ac:dyDescent="0.2">
      <c r="A646" s="35" t="s">
        <v>48</v>
      </c>
      <c r="B646" s="65" t="s">
        <v>2842</v>
      </c>
      <c r="C646" s="35"/>
      <c r="D646" s="83"/>
      <c r="E646" s="65"/>
      <c r="F646" s="64"/>
      <c r="G646" s="65"/>
      <c r="H646" s="64"/>
      <c r="I646" s="35"/>
      <c r="J646" s="35"/>
      <c r="K646" s="35"/>
      <c r="L646" s="35"/>
      <c r="M646" s="35"/>
      <c r="N646" s="35"/>
      <c r="O646" s="35"/>
      <c r="P646" s="35"/>
      <c r="Q646" s="35"/>
      <c r="R646" s="35"/>
      <c r="S646" s="35"/>
    </row>
    <row r="647" spans="1:19" x14ac:dyDescent="0.2">
      <c r="A647" s="7" t="s">
        <v>1902</v>
      </c>
      <c r="B647" s="7" t="s">
        <v>2843</v>
      </c>
      <c r="C647" s="7" t="s">
        <v>777</v>
      </c>
      <c r="D647" s="24" t="s">
        <v>756</v>
      </c>
      <c r="E647" s="7" t="s">
        <v>817</v>
      </c>
      <c r="F647" s="24" t="s">
        <v>2186</v>
      </c>
      <c r="G647" s="7" t="s">
        <v>3047</v>
      </c>
      <c r="H647" s="24" t="s">
        <v>3024</v>
      </c>
      <c r="I647" s="7"/>
      <c r="J647" s="7" t="s">
        <v>806</v>
      </c>
      <c r="K647" s="7" t="s">
        <v>17</v>
      </c>
      <c r="L647" s="7"/>
      <c r="O647" s="7" t="s">
        <v>29</v>
      </c>
    </row>
    <row r="648" spans="1:19" ht="18" x14ac:dyDescent="0.2">
      <c r="A648" s="25" t="s">
        <v>21</v>
      </c>
      <c r="B648" s="25" t="s">
        <v>3273</v>
      </c>
      <c r="C648" s="25"/>
      <c r="D648" s="26"/>
      <c r="E648" s="25"/>
      <c r="F648" s="26"/>
      <c r="G648" s="25"/>
      <c r="H648" s="26"/>
      <c r="I648" s="25"/>
      <c r="J648" s="25"/>
      <c r="K648" s="25"/>
      <c r="L648" s="25"/>
      <c r="M648" s="25" t="s">
        <v>2844</v>
      </c>
      <c r="N648" s="25"/>
      <c r="O648" s="53" t="s">
        <v>3311</v>
      </c>
      <c r="P648" s="25"/>
      <c r="Q648" s="25"/>
      <c r="R648" s="25"/>
      <c r="S648" s="25"/>
    </row>
    <row r="649" spans="1:19" x14ac:dyDescent="0.2">
      <c r="A649" s="7"/>
      <c r="B649" s="7"/>
      <c r="C649" s="7"/>
      <c r="D649" s="24"/>
      <c r="I649" s="7"/>
      <c r="J649" s="7"/>
      <c r="K649" s="7"/>
    </row>
    <row r="650" spans="1:19" x14ac:dyDescent="0.2">
      <c r="A650" s="7"/>
      <c r="B650" s="7"/>
      <c r="C650" s="7"/>
      <c r="D650" s="24"/>
      <c r="I650" s="7"/>
      <c r="J650" s="7"/>
      <c r="K650" s="7"/>
    </row>
    <row r="651" spans="1:19" s="105" customFormat="1" ht="48.75" customHeight="1" x14ac:dyDescent="0.25">
      <c r="A651" s="65" t="s">
        <v>16</v>
      </c>
      <c r="B651" s="65" t="s">
        <v>2846</v>
      </c>
      <c r="C651" s="65" t="s">
        <v>1672</v>
      </c>
      <c r="D651" s="64"/>
      <c r="E651" s="65" t="s">
        <v>1673</v>
      </c>
      <c r="F651" s="64"/>
      <c r="G651" s="65" t="s">
        <v>1674</v>
      </c>
      <c r="H651" s="64"/>
      <c r="I651" s="65"/>
      <c r="J651" s="35"/>
      <c r="K651" s="35"/>
      <c r="L651" s="35"/>
      <c r="M651" s="35"/>
      <c r="N651" s="35"/>
      <c r="O651" s="53" t="s">
        <v>3311</v>
      </c>
      <c r="P651" s="35"/>
      <c r="Q651" s="35"/>
      <c r="R651" s="35"/>
      <c r="S651" s="35"/>
    </row>
    <row r="652" spans="1:19" x14ac:dyDescent="0.2">
      <c r="A652" s="7" t="s">
        <v>1886</v>
      </c>
      <c r="B652" s="7" t="s">
        <v>1675</v>
      </c>
      <c r="C652" s="7" t="s">
        <v>2674</v>
      </c>
      <c r="D652" s="24"/>
      <c r="E652" s="7" t="s">
        <v>2675</v>
      </c>
      <c r="G652" s="7" t="s">
        <v>2676</v>
      </c>
      <c r="I652" s="7"/>
      <c r="J652" s="7"/>
      <c r="K652" s="7" t="s">
        <v>17</v>
      </c>
    </row>
    <row r="653" spans="1:19" x14ac:dyDescent="0.2">
      <c r="A653" s="45" t="s">
        <v>2189</v>
      </c>
      <c r="B653" s="45" t="s">
        <v>2680</v>
      </c>
      <c r="C653" s="45" t="s">
        <v>2677</v>
      </c>
      <c r="D653" s="48"/>
      <c r="E653" s="45" t="s">
        <v>2678</v>
      </c>
      <c r="F653" s="48"/>
      <c r="G653" s="45" t="s">
        <v>2679</v>
      </c>
      <c r="H653" s="48"/>
      <c r="I653" s="45"/>
      <c r="J653" s="45"/>
      <c r="K653" s="45" t="s">
        <v>17</v>
      </c>
      <c r="L653" s="46"/>
      <c r="M653" s="46"/>
      <c r="N653" s="46"/>
      <c r="O653" s="45" t="s">
        <v>1689</v>
      </c>
      <c r="P653" s="46"/>
      <c r="Q653" s="46"/>
      <c r="R653" s="47" t="s">
        <v>1907</v>
      </c>
      <c r="S653" s="46"/>
    </row>
    <row r="654" spans="1:19" x14ac:dyDescent="0.2">
      <c r="A654" s="7" t="s">
        <v>2202</v>
      </c>
      <c r="B654" s="7" t="s">
        <v>1676</v>
      </c>
      <c r="C654" s="7" t="s">
        <v>2681</v>
      </c>
      <c r="D654" s="24"/>
      <c r="E654" s="7" t="s">
        <v>2682</v>
      </c>
      <c r="G654" s="7" t="s">
        <v>2683</v>
      </c>
      <c r="I654" s="7"/>
      <c r="J654" s="7"/>
      <c r="K654" s="7" t="s">
        <v>17</v>
      </c>
      <c r="O654" s="7" t="s">
        <v>1690</v>
      </c>
    </row>
    <row r="655" spans="1:19" x14ac:dyDescent="0.2">
      <c r="A655" s="7" t="s">
        <v>2202</v>
      </c>
      <c r="B655" s="7" t="s">
        <v>1677</v>
      </c>
      <c r="C655" s="7" t="s">
        <v>3303</v>
      </c>
      <c r="D655" s="24"/>
      <c r="E655" s="7" t="s">
        <v>3304</v>
      </c>
      <c r="G655" s="7" t="s">
        <v>3305</v>
      </c>
      <c r="I655" s="7"/>
      <c r="J655" s="7"/>
      <c r="K655" s="7" t="s">
        <v>17</v>
      </c>
    </row>
    <row r="656" spans="1:19" x14ac:dyDescent="0.2">
      <c r="A656" s="7" t="s">
        <v>2684</v>
      </c>
      <c r="B656" s="7" t="s">
        <v>1678</v>
      </c>
      <c r="C656" s="7" t="s">
        <v>2685</v>
      </c>
      <c r="D656" s="24"/>
      <c r="E656" s="7" t="s">
        <v>2686</v>
      </c>
      <c r="G656" s="7" t="s">
        <v>2687</v>
      </c>
      <c r="I656" s="7"/>
      <c r="J656" s="7"/>
      <c r="K656" s="7" t="s">
        <v>17</v>
      </c>
      <c r="O656" s="7" t="s">
        <v>3302</v>
      </c>
    </row>
    <row r="657" spans="1:19" ht="18.75" x14ac:dyDescent="0.2">
      <c r="A657" s="35" t="s">
        <v>48</v>
      </c>
      <c r="B657" s="65" t="s">
        <v>2846</v>
      </c>
      <c r="C657" s="35"/>
      <c r="D657" s="83"/>
      <c r="E657" s="65"/>
      <c r="F657" s="64"/>
      <c r="G657" s="65"/>
      <c r="H657" s="64"/>
      <c r="I657" s="35"/>
      <c r="J657" s="35"/>
      <c r="K657" s="35"/>
      <c r="L657" s="35"/>
      <c r="M657" s="35"/>
      <c r="N657" s="35"/>
      <c r="O657" s="35"/>
      <c r="P657" s="35"/>
      <c r="Q657" s="35"/>
      <c r="R657" s="35"/>
      <c r="S657" s="35"/>
    </row>
    <row r="658" spans="1:19" ht="18" x14ac:dyDescent="0.2">
      <c r="A658" s="7" t="s">
        <v>1902</v>
      </c>
      <c r="B658" s="7" t="s">
        <v>2847</v>
      </c>
      <c r="C658" s="7" t="s">
        <v>1685</v>
      </c>
      <c r="D658" s="24" t="s">
        <v>756</v>
      </c>
      <c r="E658" s="7" t="s">
        <v>1684</v>
      </c>
      <c r="F658" s="24" t="s">
        <v>2186</v>
      </c>
      <c r="G658" s="7" t="s">
        <v>3048</v>
      </c>
      <c r="H658" s="24" t="s">
        <v>3024</v>
      </c>
      <c r="I658" s="7"/>
      <c r="J658" s="7" t="s">
        <v>806</v>
      </c>
      <c r="K658" s="7" t="s">
        <v>17</v>
      </c>
      <c r="O658" s="53" t="s">
        <v>3311</v>
      </c>
    </row>
    <row r="659" spans="1:19" x14ac:dyDescent="0.2">
      <c r="A659" s="25" t="s">
        <v>21</v>
      </c>
      <c r="B659" s="25" t="s">
        <v>631</v>
      </c>
      <c r="C659" s="25"/>
      <c r="D659" s="26"/>
      <c r="E659" s="25"/>
      <c r="F659" s="26"/>
      <c r="G659" s="25"/>
      <c r="H659" s="26"/>
      <c r="I659" s="25"/>
      <c r="J659" s="25"/>
      <c r="K659" s="25"/>
      <c r="L659" s="25"/>
      <c r="M659" s="25" t="s">
        <v>2844</v>
      </c>
      <c r="N659" s="25"/>
      <c r="O659" s="25"/>
      <c r="P659" s="25"/>
      <c r="Q659" s="25"/>
      <c r="R659" s="25"/>
      <c r="S659" s="25"/>
    </row>
    <row r="660" spans="1:19" x14ac:dyDescent="0.2">
      <c r="A660" s="7"/>
      <c r="B660" s="7"/>
      <c r="C660" s="7"/>
      <c r="D660" s="24"/>
      <c r="I660" s="7"/>
      <c r="J660" s="7"/>
      <c r="K660" s="7"/>
    </row>
    <row r="661" spans="1:19" s="136" customFormat="1" ht="48.75" customHeight="1" x14ac:dyDescent="0.25">
      <c r="A661" s="133" t="s">
        <v>16</v>
      </c>
      <c r="B661" s="133" t="s">
        <v>2848</v>
      </c>
      <c r="C661" s="133" t="s">
        <v>632</v>
      </c>
      <c r="D661" s="134"/>
      <c r="E661" s="133" t="s">
        <v>3258</v>
      </c>
      <c r="F661" s="134"/>
      <c r="G661" s="133" t="s">
        <v>3258</v>
      </c>
      <c r="H661" s="134"/>
      <c r="I661" s="133"/>
      <c r="J661" s="135"/>
      <c r="K661" s="135"/>
      <c r="L661" s="135"/>
      <c r="M661" s="135"/>
      <c r="N661" s="135"/>
      <c r="O661" s="135" t="s">
        <v>4342</v>
      </c>
      <c r="P661" s="135"/>
      <c r="Q661" s="135"/>
      <c r="R661" s="135"/>
      <c r="S661" s="135"/>
    </row>
    <row r="662" spans="1:19" s="138" customFormat="1" x14ac:dyDescent="0.2">
      <c r="A662" s="28"/>
      <c r="B662" s="137"/>
      <c r="C662" s="28"/>
      <c r="D662" s="29"/>
      <c r="E662" s="28"/>
      <c r="F662" s="29"/>
      <c r="G662" s="28"/>
      <c r="H662" s="29"/>
      <c r="I662" s="28"/>
      <c r="J662" s="137"/>
      <c r="K662" s="137"/>
      <c r="L662" s="137"/>
      <c r="M662" s="137"/>
      <c r="N662" s="137"/>
      <c r="O662" s="137"/>
      <c r="P662" s="137"/>
      <c r="Q662" s="137"/>
      <c r="R662" s="137"/>
      <c r="S662" s="137"/>
    </row>
    <row r="663" spans="1:19" s="138" customFormat="1" ht="18" x14ac:dyDescent="0.2">
      <c r="A663" s="28" t="s">
        <v>2764</v>
      </c>
      <c r="B663" s="28" t="s">
        <v>1693</v>
      </c>
      <c r="C663" s="28" t="s">
        <v>2765</v>
      </c>
      <c r="D663" s="29"/>
      <c r="E663" s="28" t="s">
        <v>2766</v>
      </c>
      <c r="F663" s="29"/>
      <c r="G663" s="28" t="s">
        <v>3289</v>
      </c>
      <c r="H663" s="29"/>
      <c r="I663" s="28"/>
      <c r="J663" s="28"/>
      <c r="K663" s="28" t="s">
        <v>17</v>
      </c>
      <c r="L663" s="28"/>
      <c r="M663" s="137"/>
      <c r="N663" s="137"/>
      <c r="O663" s="135" t="s">
        <v>4342</v>
      </c>
      <c r="P663" s="137"/>
      <c r="Q663" s="137"/>
      <c r="R663" s="137"/>
      <c r="S663" s="137"/>
    </row>
    <row r="664" spans="1:19" s="138" customFormat="1" ht="18" x14ac:dyDescent="0.2">
      <c r="A664" s="28" t="s">
        <v>2764</v>
      </c>
      <c r="B664" s="28" t="s">
        <v>1694</v>
      </c>
      <c r="C664" s="28" t="s">
        <v>2767</v>
      </c>
      <c r="D664" s="29"/>
      <c r="E664" s="28" t="s">
        <v>2768</v>
      </c>
      <c r="F664" s="29"/>
      <c r="G664" s="28" t="s">
        <v>3290</v>
      </c>
      <c r="H664" s="29"/>
      <c r="I664" s="28"/>
      <c r="J664" s="28"/>
      <c r="K664" s="28" t="s">
        <v>17</v>
      </c>
      <c r="L664" s="28"/>
      <c r="M664" s="137"/>
      <c r="N664" s="137"/>
      <c r="O664" s="135" t="s">
        <v>4342</v>
      </c>
      <c r="P664" s="137"/>
      <c r="Q664" s="137"/>
      <c r="R664" s="137"/>
      <c r="S664" s="137"/>
    </row>
    <row r="665" spans="1:19" s="138" customFormat="1" x14ac:dyDescent="0.2">
      <c r="A665" s="28"/>
      <c r="B665" s="28"/>
      <c r="C665" s="28"/>
      <c r="D665" s="29"/>
      <c r="E665" s="28"/>
      <c r="F665" s="29"/>
      <c r="G665" s="28"/>
      <c r="H665" s="29"/>
      <c r="I665" s="28"/>
      <c r="J665" s="28"/>
      <c r="K665" s="28"/>
      <c r="L665" s="28"/>
      <c r="M665" s="137"/>
      <c r="N665" s="137"/>
      <c r="O665" s="28"/>
      <c r="P665" s="137"/>
      <c r="Q665" s="137"/>
      <c r="R665" s="137"/>
      <c r="S665" s="137"/>
    </row>
    <row r="666" spans="1:19" s="138" customFormat="1" x14ac:dyDescent="0.2">
      <c r="A666" s="28" t="s">
        <v>1886</v>
      </c>
      <c r="B666" s="28" t="s">
        <v>1695</v>
      </c>
      <c r="C666" s="28" t="s">
        <v>2769</v>
      </c>
      <c r="D666" s="29"/>
      <c r="E666" s="28" t="s">
        <v>2770</v>
      </c>
      <c r="F666" s="29"/>
      <c r="G666" s="28" t="s">
        <v>2771</v>
      </c>
      <c r="H666" s="29"/>
      <c r="I666" s="28"/>
      <c r="J666" s="28"/>
      <c r="K666" s="28" t="s">
        <v>17</v>
      </c>
      <c r="L666" s="28"/>
      <c r="M666" s="137"/>
      <c r="N666" s="137"/>
      <c r="O666" s="137"/>
      <c r="P666" s="137"/>
      <c r="Q666" s="137"/>
      <c r="R666" s="137"/>
      <c r="S666" s="137"/>
    </row>
    <row r="667" spans="1:19" s="138" customFormat="1" x14ac:dyDescent="0.2">
      <c r="A667" s="28" t="s">
        <v>2772</v>
      </c>
      <c r="B667" s="28" t="s">
        <v>1880</v>
      </c>
      <c r="C667" s="28" t="s">
        <v>2773</v>
      </c>
      <c r="D667" s="29"/>
      <c r="E667" s="28" t="s">
        <v>2774</v>
      </c>
      <c r="F667" s="29"/>
      <c r="G667" s="28" t="s">
        <v>2775</v>
      </c>
      <c r="H667" s="29"/>
      <c r="I667" s="28"/>
      <c r="J667" s="28"/>
      <c r="K667" s="28" t="s">
        <v>17</v>
      </c>
      <c r="L667" s="28"/>
      <c r="M667" s="137"/>
      <c r="N667" s="137"/>
      <c r="O667" s="137"/>
      <c r="P667" s="137"/>
      <c r="Q667" s="137"/>
      <c r="R667" s="137"/>
      <c r="S667" s="137"/>
    </row>
    <row r="668" spans="1:19" s="138" customFormat="1" x14ac:dyDescent="0.2">
      <c r="A668" s="28" t="s">
        <v>2776</v>
      </c>
      <c r="B668" s="28" t="s">
        <v>1696</v>
      </c>
      <c r="C668" s="28" t="s">
        <v>2777</v>
      </c>
      <c r="D668" s="29"/>
      <c r="E668" s="28" t="s">
        <v>2778</v>
      </c>
      <c r="F668" s="29"/>
      <c r="G668" s="28" t="s">
        <v>2779</v>
      </c>
      <c r="H668" s="29"/>
      <c r="I668" s="28"/>
      <c r="J668" s="28"/>
      <c r="K668" s="28" t="s">
        <v>17</v>
      </c>
      <c r="L668" s="28"/>
      <c r="M668" s="137"/>
      <c r="N668" s="137"/>
      <c r="O668" s="137"/>
      <c r="P668" s="137"/>
      <c r="Q668" s="137"/>
      <c r="R668" s="137"/>
      <c r="S668" s="137"/>
    </row>
    <row r="669" spans="1:19" s="138" customFormat="1" x14ac:dyDescent="0.2">
      <c r="A669" s="28" t="s">
        <v>2780</v>
      </c>
      <c r="B669" s="28" t="s">
        <v>1697</v>
      </c>
      <c r="C669" s="28" t="s">
        <v>2781</v>
      </c>
      <c r="D669" s="29"/>
      <c r="E669" s="28" t="s">
        <v>2782</v>
      </c>
      <c r="F669" s="29"/>
      <c r="G669" s="28" t="s">
        <v>2783</v>
      </c>
      <c r="H669" s="29"/>
      <c r="I669" s="28"/>
      <c r="J669" s="28"/>
      <c r="K669" s="28" t="s">
        <v>17</v>
      </c>
      <c r="L669" s="28"/>
      <c r="M669" s="137"/>
      <c r="N669" s="137"/>
      <c r="O669" s="137"/>
      <c r="P669" s="137"/>
      <c r="Q669" s="137"/>
      <c r="R669" s="137"/>
      <c r="S669" s="137"/>
    </row>
    <row r="670" spans="1:19" s="138" customFormat="1" x14ac:dyDescent="0.2">
      <c r="A670" s="28" t="s">
        <v>2780</v>
      </c>
      <c r="B670" s="28" t="s">
        <v>1698</v>
      </c>
      <c r="C670" s="28" t="s">
        <v>2784</v>
      </c>
      <c r="D670" s="29"/>
      <c r="E670" s="28" t="s">
        <v>2785</v>
      </c>
      <c r="F670" s="29"/>
      <c r="G670" s="28" t="s">
        <v>3291</v>
      </c>
      <c r="H670" s="29"/>
      <c r="I670" s="28"/>
      <c r="J670" s="28"/>
      <c r="K670" s="28" t="s">
        <v>17</v>
      </c>
      <c r="L670" s="28"/>
      <c r="M670" s="137"/>
      <c r="N670" s="137"/>
      <c r="O670" s="137"/>
      <c r="P670" s="137"/>
      <c r="Q670" s="137"/>
      <c r="R670" s="137"/>
      <c r="S670" s="137"/>
    </row>
    <row r="671" spans="1:19" s="138" customFormat="1" x14ac:dyDescent="0.2">
      <c r="A671" s="28" t="s">
        <v>2780</v>
      </c>
      <c r="B671" s="28" t="s">
        <v>1699</v>
      </c>
      <c r="C671" s="28" t="s">
        <v>2786</v>
      </c>
      <c r="D671" s="29"/>
      <c r="E671" s="28" t="s">
        <v>2787</v>
      </c>
      <c r="F671" s="29"/>
      <c r="G671" s="28" t="s">
        <v>2788</v>
      </c>
      <c r="H671" s="29"/>
      <c r="I671" s="28"/>
      <c r="J671" s="28"/>
      <c r="K671" s="28" t="s">
        <v>17</v>
      </c>
      <c r="L671" s="28"/>
      <c r="M671" s="137"/>
      <c r="N671" s="137"/>
      <c r="O671" s="137"/>
      <c r="P671" s="137"/>
      <c r="Q671" s="137"/>
      <c r="R671" s="137"/>
      <c r="S671" s="137"/>
    </row>
    <row r="672" spans="1:19" s="138" customFormat="1" x14ac:dyDescent="0.2">
      <c r="A672" s="28"/>
      <c r="B672" s="28"/>
      <c r="C672" s="28"/>
      <c r="D672" s="29"/>
      <c r="E672" s="28"/>
      <c r="F672" s="29"/>
      <c r="G672" s="28"/>
      <c r="H672" s="29"/>
      <c r="I672" s="28"/>
      <c r="J672" s="28"/>
      <c r="K672" s="28"/>
      <c r="L672" s="28"/>
      <c r="M672" s="137"/>
      <c r="N672" s="137"/>
      <c r="O672" s="137"/>
      <c r="P672" s="137"/>
      <c r="Q672" s="137"/>
      <c r="R672" s="137"/>
      <c r="S672" s="137"/>
    </row>
    <row r="673" spans="1:19" s="138" customFormat="1" ht="18" x14ac:dyDescent="0.2">
      <c r="A673" s="28" t="s">
        <v>2789</v>
      </c>
      <c r="B673" s="28" t="s">
        <v>1700</v>
      </c>
      <c r="C673" s="28" t="s">
        <v>2790</v>
      </c>
      <c r="D673" s="29"/>
      <c r="E673" s="28" t="s">
        <v>2791</v>
      </c>
      <c r="F673" s="29"/>
      <c r="G673" s="28" t="s">
        <v>2792</v>
      </c>
      <c r="H673" s="29"/>
      <c r="I673" s="28"/>
      <c r="J673" s="28"/>
      <c r="K673" s="28" t="s">
        <v>17</v>
      </c>
      <c r="L673" s="28"/>
      <c r="M673" s="137"/>
      <c r="N673" s="137"/>
      <c r="O673" s="135" t="s">
        <v>4342</v>
      </c>
      <c r="P673" s="137"/>
      <c r="Q673" s="137"/>
      <c r="R673" s="137"/>
      <c r="S673" s="137"/>
    </row>
    <row r="674" spans="1:19" s="138" customFormat="1" ht="18" x14ac:dyDescent="0.2">
      <c r="A674" s="28" t="s">
        <v>2793</v>
      </c>
      <c r="B674" s="28" t="s">
        <v>1701</v>
      </c>
      <c r="C674" s="28" t="s">
        <v>2794</v>
      </c>
      <c r="D674" s="29"/>
      <c r="E674" s="28" t="s">
        <v>2795</v>
      </c>
      <c r="F674" s="29"/>
      <c r="G674" s="28" t="s">
        <v>3309</v>
      </c>
      <c r="H674" s="29"/>
      <c r="I674" s="28"/>
      <c r="J674" s="28"/>
      <c r="K674" s="28" t="s">
        <v>17</v>
      </c>
      <c r="L674" s="28"/>
      <c r="M674" s="137"/>
      <c r="N674" s="137"/>
      <c r="O674" s="135" t="s">
        <v>4342</v>
      </c>
      <c r="P674" s="137"/>
      <c r="Q674" s="137"/>
      <c r="R674" s="137"/>
      <c r="S674" s="137"/>
    </row>
    <row r="675" spans="1:19" s="138" customFormat="1" x14ac:dyDescent="0.2">
      <c r="A675" s="28"/>
      <c r="B675" s="28"/>
      <c r="C675" s="28"/>
      <c r="D675" s="29"/>
      <c r="E675" s="28"/>
      <c r="F675" s="29"/>
      <c r="G675" s="28"/>
      <c r="H675" s="29"/>
      <c r="I675" s="28"/>
      <c r="J675" s="28"/>
      <c r="K675" s="28"/>
      <c r="L675" s="28"/>
      <c r="M675" s="137"/>
      <c r="N675" s="137"/>
      <c r="O675" s="137"/>
      <c r="P675" s="137"/>
      <c r="Q675" s="137"/>
      <c r="R675" s="137"/>
      <c r="S675" s="137"/>
    </row>
    <row r="676" spans="1:19" s="138" customFormat="1" ht="18" x14ac:dyDescent="0.2">
      <c r="A676" s="28" t="s">
        <v>2796</v>
      </c>
      <c r="B676" s="28" t="s">
        <v>1702</v>
      </c>
      <c r="C676" s="28" t="s">
        <v>2797</v>
      </c>
      <c r="D676" s="29"/>
      <c r="E676" s="28" t="s">
        <v>2798</v>
      </c>
      <c r="F676" s="29"/>
      <c r="G676" s="28" t="s">
        <v>2799</v>
      </c>
      <c r="H676" s="29"/>
      <c r="I676" s="28"/>
      <c r="J676" s="28"/>
      <c r="K676" s="28" t="s">
        <v>17</v>
      </c>
      <c r="L676" s="28"/>
      <c r="M676" s="137"/>
      <c r="N676" s="137"/>
      <c r="O676" s="135" t="s">
        <v>4342</v>
      </c>
      <c r="P676" s="137"/>
      <c r="Q676" s="137"/>
      <c r="R676" s="137"/>
      <c r="S676" s="137"/>
    </row>
    <row r="677" spans="1:19" s="138" customFormat="1" x14ac:dyDescent="0.2">
      <c r="A677" s="137"/>
      <c r="B677" s="137"/>
      <c r="C677" s="137"/>
      <c r="D677" s="139"/>
      <c r="E677" s="137"/>
      <c r="F677" s="29"/>
      <c r="G677" s="28"/>
      <c r="H677" s="29"/>
      <c r="I677" s="137"/>
      <c r="J677" s="137"/>
      <c r="K677" s="28"/>
      <c r="L677" s="137"/>
      <c r="M677" s="137"/>
      <c r="N677" s="137"/>
      <c r="O677" s="137"/>
      <c r="P677" s="137"/>
      <c r="Q677" s="137"/>
      <c r="R677" s="137"/>
      <c r="S677" s="137"/>
    </row>
    <row r="678" spans="1:19" s="138" customFormat="1" x14ac:dyDescent="0.2">
      <c r="A678" s="137"/>
      <c r="B678" s="137"/>
      <c r="C678" s="137"/>
      <c r="D678" s="139"/>
      <c r="E678" s="28"/>
      <c r="F678" s="29"/>
      <c r="G678" s="28"/>
      <c r="H678" s="29"/>
      <c r="I678" s="137"/>
      <c r="J678" s="28"/>
      <c r="K678" s="28"/>
      <c r="L678" s="137"/>
      <c r="M678" s="137"/>
      <c r="N678" s="137"/>
      <c r="O678" s="137"/>
      <c r="P678" s="137"/>
      <c r="Q678" s="137"/>
      <c r="R678" s="137"/>
      <c r="S678" s="137"/>
    </row>
    <row r="679" spans="1:19" s="138" customFormat="1" x14ac:dyDescent="0.2">
      <c r="A679" s="137"/>
      <c r="B679" s="137"/>
      <c r="C679" s="137"/>
      <c r="D679" s="139"/>
      <c r="E679" s="28"/>
      <c r="F679" s="29"/>
      <c r="G679" s="28"/>
      <c r="H679" s="29"/>
      <c r="I679" s="137"/>
      <c r="J679" s="28"/>
      <c r="K679" s="28"/>
      <c r="L679" s="137"/>
      <c r="M679" s="137"/>
      <c r="N679" s="137"/>
      <c r="O679" s="137"/>
      <c r="P679" s="137"/>
      <c r="Q679" s="137"/>
      <c r="R679" s="137"/>
      <c r="S679" s="137"/>
    </row>
    <row r="680" spans="1:19" s="138" customFormat="1" x14ac:dyDescent="0.2">
      <c r="A680" s="137"/>
      <c r="B680" s="137"/>
      <c r="C680" s="137"/>
      <c r="D680" s="139"/>
      <c r="E680" s="28"/>
      <c r="F680" s="29"/>
      <c r="G680" s="28"/>
      <c r="H680" s="29"/>
      <c r="I680" s="137"/>
      <c r="J680" s="28"/>
      <c r="K680" s="28"/>
      <c r="L680" s="137"/>
      <c r="M680" s="137"/>
      <c r="N680" s="137"/>
      <c r="O680" s="137"/>
      <c r="P680" s="137"/>
      <c r="Q680" s="137"/>
      <c r="R680" s="137"/>
      <c r="S680" s="137"/>
    </row>
    <row r="681" spans="1:19" s="138" customFormat="1" x14ac:dyDescent="0.2">
      <c r="A681" s="137"/>
      <c r="B681" s="137"/>
      <c r="C681" s="137"/>
      <c r="D681" s="139"/>
      <c r="E681" s="28"/>
      <c r="F681" s="29"/>
      <c r="G681" s="28"/>
      <c r="H681" s="29"/>
      <c r="I681" s="137"/>
      <c r="J681" s="137"/>
      <c r="K681" s="28"/>
      <c r="L681" s="137"/>
      <c r="M681" s="137"/>
      <c r="N681" s="137"/>
      <c r="O681" s="137"/>
      <c r="P681" s="137"/>
      <c r="Q681" s="137"/>
      <c r="R681" s="137"/>
      <c r="S681" s="137"/>
    </row>
    <row r="682" spans="1:19" s="138" customFormat="1" ht="18.75" x14ac:dyDescent="0.2">
      <c r="A682" s="135" t="s">
        <v>48</v>
      </c>
      <c r="B682" s="133" t="s">
        <v>2848</v>
      </c>
      <c r="C682" s="133" t="s">
        <v>632</v>
      </c>
      <c r="D682" s="134"/>
      <c r="E682" s="133" t="s">
        <v>3258</v>
      </c>
      <c r="F682" s="134"/>
      <c r="G682" s="133" t="s">
        <v>3258</v>
      </c>
      <c r="H682" s="134"/>
      <c r="I682" s="135"/>
      <c r="J682" s="135"/>
      <c r="K682" s="135"/>
      <c r="L682" s="135"/>
      <c r="M682" s="135"/>
      <c r="N682" s="135"/>
      <c r="O682" s="135"/>
      <c r="P682" s="135"/>
      <c r="Q682" s="135"/>
      <c r="R682" s="135"/>
      <c r="S682" s="135"/>
    </row>
    <row r="683" spans="1:19" s="138" customFormat="1" x14ac:dyDescent="0.2">
      <c r="A683" s="28" t="s">
        <v>1902</v>
      </c>
      <c r="B683" s="28" t="s">
        <v>2849</v>
      </c>
      <c r="C683" s="28" t="s">
        <v>778</v>
      </c>
      <c r="D683" s="29" t="s">
        <v>756</v>
      </c>
      <c r="E683" s="28" t="s">
        <v>818</v>
      </c>
      <c r="F683" s="29" t="s">
        <v>2186</v>
      </c>
      <c r="G683" s="28" t="s">
        <v>3049</v>
      </c>
      <c r="H683" s="29" t="s">
        <v>3024</v>
      </c>
      <c r="I683" s="137"/>
      <c r="J683" s="137" t="s">
        <v>806</v>
      </c>
      <c r="K683" s="28" t="s">
        <v>17</v>
      </c>
      <c r="L683" s="137"/>
      <c r="M683" s="137"/>
      <c r="N683" s="137"/>
      <c r="O683" s="28" t="s">
        <v>4342</v>
      </c>
      <c r="P683" s="137"/>
      <c r="Q683" s="137"/>
      <c r="R683" s="137"/>
      <c r="S683" s="137"/>
    </row>
    <row r="684" spans="1:19" s="138" customFormat="1" x14ac:dyDescent="0.2">
      <c r="A684" s="28" t="s">
        <v>21</v>
      </c>
      <c r="B684" s="28" t="s">
        <v>2986</v>
      </c>
      <c r="C684" s="28"/>
      <c r="D684" s="29"/>
      <c r="E684" s="28"/>
      <c r="F684" s="29"/>
      <c r="G684" s="28"/>
      <c r="H684" s="29"/>
      <c r="I684" s="28"/>
      <c r="J684" s="28"/>
      <c r="K684" s="28"/>
      <c r="L684" s="28"/>
      <c r="M684" s="28" t="s">
        <v>2850</v>
      </c>
      <c r="N684" s="28"/>
      <c r="O684" s="28"/>
      <c r="P684" s="28"/>
      <c r="Q684" s="28"/>
      <c r="R684" s="28"/>
      <c r="S684" s="28"/>
    </row>
    <row r="685" spans="1:19" s="138" customFormat="1" x14ac:dyDescent="0.2">
      <c r="A685" s="28"/>
      <c r="B685" s="28"/>
      <c r="C685" s="28"/>
      <c r="D685" s="29"/>
      <c r="E685" s="28"/>
      <c r="F685" s="29"/>
      <c r="G685" s="28"/>
      <c r="H685" s="29"/>
      <c r="I685" s="28"/>
      <c r="J685" s="28"/>
      <c r="K685" s="28"/>
      <c r="L685" s="137"/>
      <c r="M685" s="137"/>
      <c r="N685" s="137"/>
      <c r="O685" s="137"/>
      <c r="P685" s="137"/>
      <c r="Q685" s="137"/>
      <c r="R685" s="137"/>
      <c r="S685" s="137"/>
    </row>
    <row r="686" spans="1:19" s="138" customFormat="1" x14ac:dyDescent="0.2">
      <c r="A686" s="28"/>
      <c r="B686" s="28"/>
      <c r="C686" s="28"/>
      <c r="D686" s="29"/>
      <c r="E686" s="28"/>
      <c r="F686" s="29"/>
      <c r="G686" s="28"/>
      <c r="H686" s="29"/>
      <c r="I686" s="28"/>
      <c r="J686" s="28"/>
      <c r="K686" s="28"/>
      <c r="L686" s="137"/>
      <c r="M686" s="137"/>
      <c r="N686" s="137"/>
      <c r="O686" s="137"/>
      <c r="P686" s="137"/>
      <c r="Q686" s="137"/>
      <c r="R686" s="137"/>
      <c r="S686" s="137"/>
    </row>
    <row r="687" spans="1:19" s="136" customFormat="1" ht="18.75" x14ac:dyDescent="0.25">
      <c r="A687" s="133" t="s">
        <v>16</v>
      </c>
      <c r="B687" s="133" t="s">
        <v>978</v>
      </c>
      <c r="C687" s="133" t="s">
        <v>2907</v>
      </c>
      <c r="D687" s="134"/>
      <c r="E687" s="133" t="s">
        <v>2908</v>
      </c>
      <c r="F687" s="134"/>
      <c r="G687" s="133" t="s">
        <v>2909</v>
      </c>
      <c r="H687" s="134"/>
      <c r="I687" s="133"/>
      <c r="J687" s="135"/>
      <c r="K687" s="135"/>
      <c r="L687" s="135"/>
      <c r="M687" s="135"/>
      <c r="N687" s="135"/>
      <c r="O687" s="135" t="s">
        <v>4342</v>
      </c>
      <c r="P687" s="135"/>
      <c r="Q687" s="135"/>
      <c r="R687" s="135"/>
      <c r="S687" s="135"/>
    </row>
    <row r="688" spans="1:19" s="138" customFormat="1" ht="103.5" customHeight="1" x14ac:dyDescent="0.2">
      <c r="A688" s="28" t="s">
        <v>2910</v>
      </c>
      <c r="B688" s="28" t="s">
        <v>983</v>
      </c>
      <c r="C688" s="28" t="s">
        <v>2911</v>
      </c>
      <c r="D688" s="29"/>
      <c r="E688" s="28" t="s">
        <v>2912</v>
      </c>
      <c r="F688" s="29"/>
      <c r="G688" s="28" t="s">
        <v>3292</v>
      </c>
      <c r="H688" s="29"/>
      <c r="I688" s="28"/>
      <c r="J688" s="28"/>
      <c r="K688" s="28" t="s">
        <v>17</v>
      </c>
      <c r="L688" s="137"/>
      <c r="M688" s="137"/>
      <c r="N688" s="137"/>
      <c r="O688" s="137"/>
      <c r="P688" s="137"/>
      <c r="Q688" s="137"/>
      <c r="R688" s="137"/>
      <c r="S688" s="137"/>
    </row>
    <row r="689" spans="1:19" s="138" customFormat="1" ht="15.75" x14ac:dyDescent="0.2">
      <c r="A689" s="140" t="s">
        <v>16</v>
      </c>
      <c r="B689" s="140" t="s">
        <v>3274</v>
      </c>
      <c r="C689" s="140" t="s">
        <v>2913</v>
      </c>
      <c r="D689" s="141"/>
      <c r="E689" s="140" t="s">
        <v>2914</v>
      </c>
      <c r="F689" s="141"/>
      <c r="G689" s="140" t="s">
        <v>2915</v>
      </c>
      <c r="H689" s="141"/>
      <c r="I689" s="140"/>
      <c r="J689" s="142"/>
      <c r="K689" s="142"/>
      <c r="L689" s="142"/>
      <c r="M689" s="142"/>
      <c r="N689" s="142"/>
      <c r="O689" s="142"/>
      <c r="P689" s="140" t="s">
        <v>47</v>
      </c>
      <c r="Q689" s="142"/>
      <c r="R689" s="142"/>
      <c r="S689" s="142"/>
    </row>
    <row r="690" spans="1:19" s="138" customFormat="1" outlineLevel="1" x14ac:dyDescent="0.2">
      <c r="A690" s="28" t="s">
        <v>2419</v>
      </c>
      <c r="B690" s="137" t="s">
        <v>984</v>
      </c>
      <c r="C690" s="137" t="s">
        <v>2916</v>
      </c>
      <c r="D690" s="139"/>
      <c r="E690" s="28" t="s">
        <v>2917</v>
      </c>
      <c r="F690" s="29"/>
      <c r="G690" s="28" t="s">
        <v>2918</v>
      </c>
      <c r="H690" s="29"/>
      <c r="I690" s="137"/>
      <c r="J690" s="137"/>
      <c r="K690" s="137"/>
      <c r="L690" s="137"/>
      <c r="M690" s="137"/>
      <c r="N690" s="137"/>
      <c r="O690" s="137"/>
      <c r="P690" s="137" t="s">
        <v>820</v>
      </c>
      <c r="Q690" s="137"/>
      <c r="R690" s="137"/>
      <c r="S690" s="137"/>
    </row>
    <row r="691" spans="1:19" s="138" customFormat="1" outlineLevel="1" x14ac:dyDescent="0.2">
      <c r="A691" s="28" t="s">
        <v>2419</v>
      </c>
      <c r="B691" s="28" t="s">
        <v>2963</v>
      </c>
      <c r="C691" s="28" t="s">
        <v>976</v>
      </c>
      <c r="D691" s="29"/>
      <c r="E691" s="28" t="s">
        <v>2919</v>
      </c>
      <c r="F691" s="29"/>
      <c r="G691" s="28" t="s">
        <v>1843</v>
      </c>
      <c r="H691" s="29"/>
      <c r="I691" s="28"/>
      <c r="J691" s="137"/>
      <c r="K691" s="137" t="s">
        <v>17</v>
      </c>
      <c r="L691" s="137"/>
      <c r="M691" s="137"/>
      <c r="N691" s="137"/>
      <c r="O691" s="137"/>
      <c r="P691" s="28" t="s">
        <v>821</v>
      </c>
      <c r="Q691" s="137"/>
      <c r="R691" s="137"/>
      <c r="S691" s="137"/>
    </row>
    <row r="692" spans="1:19" s="138" customFormat="1" outlineLevel="1" x14ac:dyDescent="0.2">
      <c r="A692" s="28" t="s">
        <v>2419</v>
      </c>
      <c r="B692" s="137" t="s">
        <v>2964</v>
      </c>
      <c r="C692" s="137" t="s">
        <v>2920</v>
      </c>
      <c r="D692" s="139"/>
      <c r="E692" s="28" t="s">
        <v>990</v>
      </c>
      <c r="F692" s="29"/>
      <c r="G692" s="28" t="s">
        <v>1844</v>
      </c>
      <c r="H692" s="29"/>
      <c r="I692" s="137"/>
      <c r="J692" s="137"/>
      <c r="K692" s="137" t="s">
        <v>17</v>
      </c>
      <c r="L692" s="137"/>
      <c r="M692" s="137"/>
      <c r="N692" s="137"/>
      <c r="O692" s="137"/>
      <c r="P692" s="137" t="s">
        <v>821</v>
      </c>
      <c r="Q692" s="137"/>
      <c r="R692" s="137"/>
      <c r="S692" s="137"/>
    </row>
    <row r="693" spans="1:19" s="138" customFormat="1" outlineLevel="1" x14ac:dyDescent="0.2">
      <c r="A693" s="28" t="s">
        <v>2419</v>
      </c>
      <c r="B693" s="28" t="s">
        <v>2982</v>
      </c>
      <c r="C693" s="28" t="s">
        <v>2921</v>
      </c>
      <c r="D693" s="29"/>
      <c r="E693" s="28" t="s">
        <v>2922</v>
      </c>
      <c r="F693" s="29"/>
      <c r="G693" s="28" t="s">
        <v>3293</v>
      </c>
      <c r="H693" s="29"/>
      <c r="I693" s="28"/>
      <c r="J693" s="137"/>
      <c r="K693" s="137" t="s">
        <v>17</v>
      </c>
      <c r="L693" s="137"/>
      <c r="M693" s="137"/>
      <c r="N693" s="137"/>
      <c r="O693" s="137"/>
      <c r="P693" s="28" t="s">
        <v>821</v>
      </c>
      <c r="Q693" s="137"/>
      <c r="R693" s="137"/>
      <c r="S693" s="137"/>
    </row>
    <row r="694" spans="1:19" s="138" customFormat="1" outlineLevel="1" x14ac:dyDescent="0.2">
      <c r="A694" s="28" t="s">
        <v>2419</v>
      </c>
      <c r="B694" s="137" t="s">
        <v>2983</v>
      </c>
      <c r="C694" s="137" t="s">
        <v>2923</v>
      </c>
      <c r="D694" s="139"/>
      <c r="E694" s="28" t="s">
        <v>2924</v>
      </c>
      <c r="F694" s="29"/>
      <c r="G694" s="28" t="s">
        <v>1845</v>
      </c>
      <c r="H694" s="29"/>
      <c r="I694" s="137"/>
      <c r="J694" s="137"/>
      <c r="K694" s="137" t="s">
        <v>17</v>
      </c>
      <c r="L694" s="137"/>
      <c r="M694" s="137"/>
      <c r="N694" s="137"/>
      <c r="O694" s="137"/>
      <c r="P694" s="137" t="s">
        <v>821</v>
      </c>
      <c r="Q694" s="137"/>
      <c r="R694" s="137"/>
      <c r="S694" s="137"/>
    </row>
    <row r="695" spans="1:19" s="138" customFormat="1" outlineLevel="1" x14ac:dyDescent="0.2">
      <c r="A695" s="28" t="s">
        <v>2419</v>
      </c>
      <c r="B695" s="28" t="s">
        <v>2984</v>
      </c>
      <c r="C695" s="28" t="s">
        <v>2925</v>
      </c>
      <c r="D695" s="29"/>
      <c r="E695" s="28" t="s">
        <v>2926</v>
      </c>
      <c r="F695" s="29"/>
      <c r="G695" s="28" t="s">
        <v>3294</v>
      </c>
      <c r="H695" s="29"/>
      <c r="I695" s="28"/>
      <c r="J695" s="137"/>
      <c r="K695" s="137" t="s">
        <v>17</v>
      </c>
      <c r="L695" s="137"/>
      <c r="M695" s="137"/>
      <c r="N695" s="137"/>
      <c r="O695" s="137"/>
      <c r="P695" s="28" t="s">
        <v>821</v>
      </c>
      <c r="Q695" s="137"/>
      <c r="R695" s="137"/>
      <c r="S695" s="137"/>
    </row>
    <row r="696" spans="1:19" s="138" customFormat="1" outlineLevel="1" x14ac:dyDescent="0.2">
      <c r="A696" s="28" t="s">
        <v>2419</v>
      </c>
      <c r="B696" s="137" t="s">
        <v>2985</v>
      </c>
      <c r="C696" s="137" t="s">
        <v>977</v>
      </c>
      <c r="D696" s="139"/>
      <c r="E696" s="28" t="s">
        <v>2927</v>
      </c>
      <c r="F696" s="29"/>
      <c r="G696" s="28" t="s">
        <v>3295</v>
      </c>
      <c r="H696" s="29"/>
      <c r="I696" s="137"/>
      <c r="J696" s="137"/>
      <c r="K696" s="137" t="s">
        <v>17</v>
      </c>
      <c r="L696" s="137"/>
      <c r="M696" s="137"/>
      <c r="N696" s="137"/>
      <c r="O696" s="137"/>
      <c r="P696" s="137" t="s">
        <v>821</v>
      </c>
      <c r="Q696" s="137"/>
      <c r="R696" s="137"/>
      <c r="S696" s="137"/>
    </row>
    <row r="697" spans="1:19" s="138" customFormat="1" ht="15.75" x14ac:dyDescent="0.2">
      <c r="A697" s="140" t="s">
        <v>48</v>
      </c>
      <c r="B697" s="140" t="s">
        <v>3274</v>
      </c>
      <c r="C697" s="140"/>
      <c r="D697" s="141"/>
      <c r="E697" s="140"/>
      <c r="F697" s="141"/>
      <c r="G697" s="140"/>
      <c r="H697" s="141"/>
      <c r="I697" s="140"/>
      <c r="J697" s="142"/>
      <c r="K697" s="142"/>
      <c r="L697" s="142"/>
      <c r="M697" s="142"/>
      <c r="N697" s="142"/>
      <c r="O697" s="142"/>
      <c r="P697" s="140"/>
      <c r="Q697" s="142"/>
      <c r="R697" s="142"/>
      <c r="S697" s="142"/>
    </row>
    <row r="698" spans="1:19" s="138" customFormat="1" x14ac:dyDescent="0.2">
      <c r="A698" s="28" t="s">
        <v>3060</v>
      </c>
      <c r="B698" s="137" t="s">
        <v>1846</v>
      </c>
      <c r="C698" s="137" t="s">
        <v>2928</v>
      </c>
      <c r="D698" s="139"/>
      <c r="E698" s="28" t="s">
        <v>2929</v>
      </c>
      <c r="F698" s="29"/>
      <c r="G698" s="28" t="s">
        <v>3050</v>
      </c>
      <c r="H698" s="29"/>
      <c r="I698" s="137"/>
      <c r="J698" s="137"/>
      <c r="K698" s="137" t="s">
        <v>17</v>
      </c>
      <c r="L698" s="137"/>
      <c r="M698" s="137"/>
      <c r="N698" s="137"/>
      <c r="O698" s="137"/>
      <c r="P698" s="137"/>
      <c r="Q698" s="137"/>
      <c r="R698" s="137"/>
      <c r="S698" s="137"/>
    </row>
    <row r="699" spans="1:19" s="138" customFormat="1" x14ac:dyDescent="0.2">
      <c r="A699" s="137"/>
      <c r="B699" s="28"/>
      <c r="C699" s="28"/>
      <c r="D699" s="29"/>
      <c r="E699" s="28"/>
      <c r="F699" s="29"/>
      <c r="G699" s="28"/>
      <c r="H699" s="29"/>
      <c r="I699" s="137"/>
      <c r="J699" s="137"/>
      <c r="K699" s="137"/>
      <c r="L699" s="137"/>
      <c r="M699" s="137"/>
      <c r="N699" s="137"/>
      <c r="O699" s="137"/>
      <c r="P699" s="137"/>
      <c r="Q699" s="137"/>
      <c r="R699" s="137"/>
      <c r="S699" s="137"/>
    </row>
    <row r="700" spans="1:19" s="138" customFormat="1" x14ac:dyDescent="0.2">
      <c r="A700" s="137"/>
      <c r="B700" s="28"/>
      <c r="C700" s="28"/>
      <c r="D700" s="29"/>
      <c r="E700" s="28"/>
      <c r="F700" s="29"/>
      <c r="G700" s="28"/>
      <c r="H700" s="29"/>
      <c r="I700" s="137"/>
      <c r="J700" s="137"/>
      <c r="K700" s="137"/>
      <c r="L700" s="137"/>
      <c r="M700" s="137"/>
      <c r="N700" s="137"/>
      <c r="O700" s="137"/>
      <c r="P700" s="137"/>
      <c r="Q700" s="137"/>
      <c r="R700" s="137"/>
      <c r="S700" s="137"/>
    </row>
    <row r="701" spans="1:19" s="138" customFormat="1" x14ac:dyDescent="0.2">
      <c r="A701" s="137"/>
      <c r="B701" s="28"/>
      <c r="C701" s="28"/>
      <c r="D701" s="29"/>
      <c r="E701" s="28"/>
      <c r="F701" s="29"/>
      <c r="G701" s="28"/>
      <c r="H701" s="29"/>
      <c r="I701" s="28"/>
      <c r="J701" s="28"/>
      <c r="K701" s="28"/>
      <c r="L701" s="137"/>
      <c r="M701" s="137"/>
      <c r="N701" s="137"/>
      <c r="O701" s="137"/>
      <c r="P701" s="137"/>
      <c r="Q701" s="137"/>
      <c r="R701" s="137"/>
      <c r="S701" s="137"/>
    </row>
    <row r="702" spans="1:19" s="138" customFormat="1" ht="18.75" x14ac:dyDescent="0.2">
      <c r="A702" s="135" t="s">
        <v>48</v>
      </c>
      <c r="B702" s="133" t="s">
        <v>978</v>
      </c>
      <c r="C702" s="133"/>
      <c r="D702" s="134"/>
      <c r="E702" s="133"/>
      <c r="F702" s="134"/>
      <c r="G702" s="133"/>
      <c r="H702" s="134"/>
      <c r="I702" s="135"/>
      <c r="J702" s="135"/>
      <c r="K702" s="135"/>
      <c r="L702" s="135"/>
      <c r="M702" s="135"/>
      <c r="N702" s="135"/>
      <c r="O702" s="135"/>
      <c r="P702" s="135"/>
      <c r="Q702" s="135"/>
      <c r="R702" s="135"/>
      <c r="S702" s="135"/>
    </row>
    <row r="703" spans="1:19" s="145" customFormat="1" ht="15" x14ac:dyDescent="0.25">
      <c r="A703" s="143" t="s">
        <v>1902</v>
      </c>
      <c r="B703" s="143" t="s">
        <v>3315</v>
      </c>
      <c r="C703" s="144" t="s">
        <v>3317</v>
      </c>
      <c r="D703" s="143"/>
      <c r="E703" s="144" t="s">
        <v>3318</v>
      </c>
      <c r="F703" s="143"/>
      <c r="G703" s="144" t="s">
        <v>3318</v>
      </c>
      <c r="H703" s="143"/>
      <c r="J703" s="145" t="s">
        <v>806</v>
      </c>
      <c r="K703" s="143" t="s">
        <v>17</v>
      </c>
      <c r="O703" s="143" t="s">
        <v>4342</v>
      </c>
    </row>
    <row r="704" spans="1:19" ht="15" x14ac:dyDescent="0.25">
      <c r="A704" s="25" t="s">
        <v>21</v>
      </c>
      <c r="B704" s="114" t="s">
        <v>4876</v>
      </c>
      <c r="C704" s="25"/>
      <c r="D704" s="26"/>
      <c r="E704" s="25"/>
      <c r="F704" s="26"/>
      <c r="G704" s="25"/>
      <c r="H704" s="26"/>
      <c r="I704" s="25"/>
      <c r="J704" s="25"/>
      <c r="K704" s="25"/>
      <c r="L704" s="25"/>
      <c r="M704" s="25" t="s">
        <v>3316</v>
      </c>
      <c r="N704" s="25"/>
      <c r="O704" s="25"/>
      <c r="P704" s="25"/>
      <c r="Q704" s="25"/>
      <c r="R704" s="25"/>
      <c r="S704" s="25"/>
    </row>
    <row r="705" spans="1:19" customFormat="1" ht="15" x14ac:dyDescent="0.25">
      <c r="A705" s="113"/>
      <c r="B705" s="113"/>
      <c r="C705" s="54"/>
      <c r="D705" s="113"/>
      <c r="E705" s="54"/>
      <c r="F705" s="113"/>
      <c r="G705" s="54"/>
      <c r="H705" s="113"/>
      <c r="K705" s="113"/>
      <c r="O705" s="113"/>
    </row>
    <row r="706" spans="1:19" customFormat="1" ht="15" x14ac:dyDescent="0.25">
      <c r="A706" s="113"/>
      <c r="B706" s="113"/>
      <c r="C706" s="54"/>
      <c r="D706" s="113"/>
      <c r="E706" s="54"/>
      <c r="F706" s="113"/>
      <c r="G706" s="54"/>
      <c r="H706" s="113"/>
      <c r="K706" s="113"/>
      <c r="O706" s="113"/>
    </row>
    <row r="707" spans="1:19" s="115" customFormat="1" ht="18.75" x14ac:dyDescent="0.2">
      <c r="A707" s="66" t="s">
        <v>16</v>
      </c>
      <c r="B707" s="93" t="s">
        <v>4086</v>
      </c>
      <c r="C707" s="93" t="s">
        <v>4087</v>
      </c>
      <c r="D707" s="94"/>
      <c r="E707" s="93" t="s">
        <v>4088</v>
      </c>
      <c r="F707" s="94"/>
      <c r="G707" s="93" t="s">
        <v>4089</v>
      </c>
      <c r="H707" s="94"/>
      <c r="I707" s="66"/>
      <c r="J707" s="66"/>
      <c r="K707" s="66"/>
      <c r="L707" s="66"/>
      <c r="M707" s="66"/>
      <c r="N707" s="66"/>
      <c r="O707" s="66" t="s">
        <v>4342</v>
      </c>
      <c r="P707" s="66"/>
      <c r="Q707" s="66"/>
      <c r="R707" s="66"/>
      <c r="S707" s="66"/>
    </row>
    <row r="708" spans="1:19" s="118" customFormat="1" ht="15" x14ac:dyDescent="0.25">
      <c r="A708" s="116" t="s">
        <v>1886</v>
      </c>
      <c r="B708" s="116" t="s">
        <v>4093</v>
      </c>
      <c r="C708" s="71" t="s">
        <v>4090</v>
      </c>
      <c r="E708" s="118" t="s">
        <v>4091</v>
      </c>
      <c r="G708" s="118" t="s">
        <v>4092</v>
      </c>
      <c r="K708" s="116" t="s">
        <v>17</v>
      </c>
    </row>
    <row r="709" spans="1:19" s="118" customFormat="1" ht="15" x14ac:dyDescent="0.25">
      <c r="A709" s="70" t="s">
        <v>4340</v>
      </c>
      <c r="B709" s="116" t="s">
        <v>4096</v>
      </c>
      <c r="C709" s="71" t="s">
        <v>4094</v>
      </c>
      <c r="D709" s="118" t="s">
        <v>4095</v>
      </c>
      <c r="E709" s="118" t="s">
        <v>4097</v>
      </c>
      <c r="F709" s="118" t="s">
        <v>4098</v>
      </c>
      <c r="G709" s="118" t="s">
        <v>4099</v>
      </c>
      <c r="H709" s="118" t="s">
        <v>4100</v>
      </c>
      <c r="J709" s="118" t="s">
        <v>4358</v>
      </c>
      <c r="K709" s="116" t="s">
        <v>17</v>
      </c>
      <c r="O709" s="70" t="s">
        <v>4336</v>
      </c>
    </row>
    <row r="710" spans="1:19" s="115" customFormat="1" x14ac:dyDescent="0.2">
      <c r="A710" s="70" t="s">
        <v>26</v>
      </c>
      <c r="B710" s="70" t="s">
        <v>4101</v>
      </c>
      <c r="C710" s="70" t="s">
        <v>4115</v>
      </c>
      <c r="D710" s="95"/>
      <c r="E710" s="70" t="s">
        <v>4114</v>
      </c>
      <c r="F710" s="95"/>
      <c r="G710" s="70" t="s">
        <v>4113</v>
      </c>
      <c r="H710" s="95"/>
      <c r="I710" s="121"/>
      <c r="J710" s="70"/>
      <c r="K710" s="70" t="s">
        <v>17</v>
      </c>
      <c r="L710" s="67"/>
      <c r="M710" s="67"/>
      <c r="N710" s="67"/>
      <c r="O710" s="70" t="s">
        <v>4330</v>
      </c>
      <c r="P710" s="67"/>
      <c r="Q710" s="67"/>
      <c r="R710" s="67"/>
      <c r="S710" s="67"/>
    </row>
    <row r="711" spans="1:19" s="118" customFormat="1" ht="15" x14ac:dyDescent="0.25">
      <c r="A711" s="70" t="s">
        <v>4205</v>
      </c>
      <c r="B711" s="116" t="s">
        <v>4102</v>
      </c>
      <c r="C711" s="71" t="s">
        <v>4103</v>
      </c>
      <c r="D711" s="118" t="s">
        <v>4104</v>
      </c>
      <c r="E711" s="118" t="s">
        <v>4105</v>
      </c>
      <c r="F711" s="118" t="s">
        <v>4106</v>
      </c>
      <c r="G711" s="118" t="s">
        <v>4107</v>
      </c>
      <c r="H711" s="118" t="s">
        <v>4108</v>
      </c>
      <c r="J711" s="118" t="s">
        <v>4358</v>
      </c>
      <c r="K711" s="70" t="s">
        <v>17</v>
      </c>
      <c r="O711" s="70" t="s">
        <v>4336</v>
      </c>
    </row>
    <row r="712" spans="1:19" s="115" customFormat="1" ht="15" x14ac:dyDescent="0.25">
      <c r="A712" s="70" t="s">
        <v>26</v>
      </c>
      <c r="B712" s="70" t="s">
        <v>4109</v>
      </c>
      <c r="C712" s="70" t="s">
        <v>4112</v>
      </c>
      <c r="D712" s="118"/>
      <c r="E712" s="70" t="s">
        <v>4111</v>
      </c>
      <c r="F712" s="118"/>
      <c r="G712" s="70" t="s">
        <v>4110</v>
      </c>
      <c r="H712" s="118"/>
      <c r="I712" s="121"/>
      <c r="J712" s="70"/>
      <c r="K712" s="70" t="s">
        <v>17</v>
      </c>
      <c r="L712" s="67"/>
      <c r="M712" s="67"/>
      <c r="N712" s="67"/>
      <c r="O712" s="70" t="s">
        <v>4331</v>
      </c>
      <c r="P712" s="67"/>
      <c r="Q712" s="67"/>
      <c r="R712" s="67"/>
      <c r="S712" s="67"/>
    </row>
    <row r="713" spans="1:19" s="118" customFormat="1" ht="15" x14ac:dyDescent="0.25">
      <c r="A713" s="70" t="s">
        <v>4252</v>
      </c>
      <c r="B713" s="116" t="s">
        <v>4119</v>
      </c>
      <c r="C713" s="71" t="s">
        <v>4116</v>
      </c>
      <c r="D713" s="118" t="s">
        <v>4104</v>
      </c>
      <c r="E713" s="118" t="s">
        <v>4117</v>
      </c>
      <c r="F713" s="118" t="s">
        <v>4106</v>
      </c>
      <c r="G713" s="118" t="s">
        <v>4118</v>
      </c>
      <c r="H713" s="118" t="s">
        <v>4108</v>
      </c>
      <c r="O713" s="70" t="s">
        <v>4336</v>
      </c>
    </row>
    <row r="714" spans="1:19" s="115" customFormat="1" ht="15" x14ac:dyDescent="0.25">
      <c r="A714" s="70" t="s">
        <v>26</v>
      </c>
      <c r="B714" s="70" t="s">
        <v>4120</v>
      </c>
      <c r="C714" s="70" t="s">
        <v>913</v>
      </c>
      <c r="D714" s="118"/>
      <c r="E714" s="70" t="s">
        <v>952</v>
      </c>
      <c r="F714" s="118"/>
      <c r="G714" s="70" t="s">
        <v>1816</v>
      </c>
      <c r="H714" s="118"/>
      <c r="I714" s="121"/>
      <c r="J714" s="70"/>
      <c r="K714" s="70" t="s">
        <v>17</v>
      </c>
      <c r="L714" s="67"/>
      <c r="M714" s="67"/>
      <c r="N714" s="67"/>
      <c r="O714" s="70" t="s">
        <v>4332</v>
      </c>
      <c r="P714" s="67"/>
      <c r="Q714" s="67"/>
      <c r="R714" s="67"/>
      <c r="S714" s="67"/>
    </row>
    <row r="715" spans="1:19" s="118" customFormat="1" ht="15" x14ac:dyDescent="0.25">
      <c r="A715" s="70" t="s">
        <v>4263</v>
      </c>
      <c r="B715" s="116" t="s">
        <v>4121</v>
      </c>
      <c r="C715" s="71" t="s">
        <v>4122</v>
      </c>
      <c r="D715" s="118" t="s">
        <v>4104</v>
      </c>
      <c r="E715" s="118" t="s">
        <v>4123</v>
      </c>
      <c r="F715" s="118" t="s">
        <v>4106</v>
      </c>
      <c r="G715" s="118" t="s">
        <v>4124</v>
      </c>
      <c r="H715" s="118" t="s">
        <v>4108</v>
      </c>
      <c r="O715" s="70" t="s">
        <v>4336</v>
      </c>
    </row>
    <row r="716" spans="1:19" s="115" customFormat="1" ht="15" x14ac:dyDescent="0.25">
      <c r="A716" s="70" t="s">
        <v>26</v>
      </c>
      <c r="B716" s="70" t="s">
        <v>4125</v>
      </c>
      <c r="C716" s="70" t="s">
        <v>913</v>
      </c>
      <c r="D716" s="118"/>
      <c r="E716" s="70" t="s">
        <v>952</v>
      </c>
      <c r="F716" s="118"/>
      <c r="G716" s="70" t="s">
        <v>1816</v>
      </c>
      <c r="H716" s="118"/>
      <c r="I716" s="121"/>
      <c r="J716" s="70"/>
      <c r="K716" s="70" t="s">
        <v>17</v>
      </c>
      <c r="L716" s="67"/>
      <c r="M716" s="67"/>
      <c r="N716" s="67"/>
      <c r="O716" s="70" t="s">
        <v>4333</v>
      </c>
      <c r="P716" s="67"/>
      <c r="Q716" s="67"/>
      <c r="R716" s="67"/>
      <c r="S716" s="67"/>
    </row>
    <row r="717" spans="1:19" s="118" customFormat="1" ht="15" x14ac:dyDescent="0.25">
      <c r="A717" s="70" t="s">
        <v>4290</v>
      </c>
      <c r="B717" s="116" t="s">
        <v>4126</v>
      </c>
      <c r="C717" s="71" t="s">
        <v>4128</v>
      </c>
      <c r="D717" s="118" t="s">
        <v>4104</v>
      </c>
      <c r="E717" s="118" t="s">
        <v>4129</v>
      </c>
      <c r="F717" s="118" t="s">
        <v>4106</v>
      </c>
      <c r="G717" s="118" t="s">
        <v>4130</v>
      </c>
      <c r="H717" s="118" t="s">
        <v>4108</v>
      </c>
      <c r="O717" s="70" t="s">
        <v>4336</v>
      </c>
    </row>
    <row r="718" spans="1:19" s="115" customFormat="1" ht="15" x14ac:dyDescent="0.25">
      <c r="A718" s="70" t="s">
        <v>26</v>
      </c>
      <c r="B718" s="70" t="s">
        <v>4127</v>
      </c>
      <c r="C718" s="70" t="s">
        <v>913</v>
      </c>
      <c r="D718" s="118"/>
      <c r="E718" s="70" t="s">
        <v>952</v>
      </c>
      <c r="F718" s="118"/>
      <c r="G718" s="70" t="s">
        <v>1816</v>
      </c>
      <c r="H718" s="118"/>
      <c r="I718" s="121"/>
      <c r="J718" s="70"/>
      <c r="K718" s="70" t="s">
        <v>17</v>
      </c>
      <c r="L718" s="67"/>
      <c r="M718" s="67"/>
      <c r="N718" s="67"/>
      <c r="O718" s="70" t="s">
        <v>4334</v>
      </c>
      <c r="P718" s="67"/>
      <c r="Q718" s="67"/>
      <c r="R718" s="67"/>
      <c r="S718" s="67"/>
    </row>
    <row r="719" spans="1:19" s="118" customFormat="1" ht="15" x14ac:dyDescent="0.25">
      <c r="A719" s="118" t="s">
        <v>567</v>
      </c>
      <c r="B719" s="116" t="s">
        <v>4134</v>
      </c>
      <c r="C719" s="71" t="s">
        <v>4131</v>
      </c>
      <c r="E719" s="118" t="s">
        <v>4132</v>
      </c>
      <c r="H719" s="118" t="s">
        <v>4133</v>
      </c>
      <c r="K719" s="70" t="s">
        <v>17</v>
      </c>
      <c r="O719" s="70" t="s">
        <v>4336</v>
      </c>
    </row>
    <row r="720" spans="1:19" s="115" customFormat="1" ht="27" customHeight="1" outlineLevel="1" x14ac:dyDescent="0.25">
      <c r="A720" s="70" t="s">
        <v>4137</v>
      </c>
      <c r="B720" s="116" t="s">
        <v>4135</v>
      </c>
      <c r="C720" s="70" t="s">
        <v>2308</v>
      </c>
      <c r="D720" s="95"/>
      <c r="E720" s="70" t="s">
        <v>4138</v>
      </c>
      <c r="F720" s="95"/>
      <c r="G720" s="70" t="s">
        <v>4139</v>
      </c>
      <c r="H720" s="95"/>
      <c r="I720" s="67"/>
      <c r="J720" s="67"/>
      <c r="K720" s="70" t="s">
        <v>17</v>
      </c>
      <c r="L720" s="67"/>
      <c r="M720" s="67"/>
      <c r="N720" s="67"/>
      <c r="O720" s="70" t="s">
        <v>4336</v>
      </c>
      <c r="P720" s="67"/>
      <c r="Q720" s="67"/>
      <c r="R720" s="67"/>
      <c r="S720" s="67"/>
    </row>
    <row r="721" spans="1:19" s="118" customFormat="1" ht="15" x14ac:dyDescent="0.25">
      <c r="A721" s="70" t="s">
        <v>4301</v>
      </c>
      <c r="B721" s="116" t="s">
        <v>4143</v>
      </c>
      <c r="C721" s="71" t="s">
        <v>4140</v>
      </c>
      <c r="E721" s="118" t="s">
        <v>4141</v>
      </c>
      <c r="G721" s="118" t="s">
        <v>4142</v>
      </c>
      <c r="K721" s="70" t="s">
        <v>17</v>
      </c>
      <c r="O721" s="70" t="s">
        <v>4337</v>
      </c>
    </row>
    <row r="722" spans="1:19" s="115" customFormat="1" ht="15" x14ac:dyDescent="0.25">
      <c r="A722" s="70" t="s">
        <v>26</v>
      </c>
      <c r="B722" s="70" t="s">
        <v>4144</v>
      </c>
      <c r="C722" s="70" t="s">
        <v>913</v>
      </c>
      <c r="D722" s="118"/>
      <c r="E722" s="70" t="s">
        <v>952</v>
      </c>
      <c r="F722" s="118"/>
      <c r="G722" s="70" t="s">
        <v>1816</v>
      </c>
      <c r="H722" s="118"/>
      <c r="I722" s="121"/>
      <c r="J722" s="70"/>
      <c r="K722" s="70" t="s">
        <v>17</v>
      </c>
      <c r="L722" s="67"/>
      <c r="M722" s="67"/>
      <c r="N722" s="67"/>
      <c r="O722" s="70" t="s">
        <v>4335</v>
      </c>
      <c r="P722" s="67"/>
      <c r="Q722" s="67"/>
      <c r="R722" s="67"/>
      <c r="S722" s="67"/>
    </row>
    <row r="723" spans="1:19" s="118" customFormat="1" ht="15" x14ac:dyDescent="0.25">
      <c r="B723" s="116"/>
      <c r="C723" s="71"/>
    </row>
    <row r="724" spans="1:19" s="115" customFormat="1" ht="18.75" x14ac:dyDescent="0.2">
      <c r="A724" s="66" t="s">
        <v>48</v>
      </c>
      <c r="B724" s="93" t="s">
        <v>4086</v>
      </c>
      <c r="C724" s="93"/>
      <c r="D724" s="94"/>
      <c r="E724" s="93"/>
      <c r="F724" s="94"/>
      <c r="G724" s="93"/>
      <c r="H724" s="94"/>
      <c r="I724" s="66"/>
      <c r="J724" s="66"/>
      <c r="K724" s="66"/>
      <c r="L724" s="66"/>
      <c r="M724" s="66"/>
      <c r="N724" s="66"/>
      <c r="O724" s="66"/>
      <c r="P724" s="66"/>
      <c r="Q724" s="66"/>
      <c r="R724" s="66"/>
      <c r="S724" s="66"/>
    </row>
    <row r="725" spans="1:19" s="107" customFormat="1" ht="15" x14ac:dyDescent="0.25">
      <c r="A725" s="114" t="s">
        <v>1902</v>
      </c>
      <c r="B725" s="114" t="s">
        <v>4874</v>
      </c>
      <c r="C725" s="75" t="s">
        <v>4878</v>
      </c>
      <c r="D725" s="114"/>
      <c r="E725" s="75" t="s">
        <v>4879</v>
      </c>
      <c r="F725" s="114"/>
      <c r="G725" s="75" t="s">
        <v>4879</v>
      </c>
      <c r="H725" s="114"/>
      <c r="J725" s="107" t="s">
        <v>806</v>
      </c>
      <c r="K725" s="114" t="s">
        <v>17</v>
      </c>
      <c r="O725" s="114" t="s">
        <v>4342</v>
      </c>
    </row>
    <row r="726" spans="1:19" s="106" customFormat="1" ht="15" x14ac:dyDescent="0.25">
      <c r="A726" s="16" t="s">
        <v>21</v>
      </c>
      <c r="B726" s="114" t="s">
        <v>4877</v>
      </c>
      <c r="C726" s="16"/>
      <c r="D726" s="82"/>
      <c r="E726" s="16"/>
      <c r="F726" s="82"/>
      <c r="G726" s="16"/>
      <c r="H726" s="82"/>
      <c r="I726" s="16"/>
      <c r="J726" s="16"/>
      <c r="K726" s="16"/>
      <c r="L726" s="16"/>
      <c r="M726" s="16" t="s">
        <v>4875</v>
      </c>
      <c r="N726" s="16"/>
      <c r="O726" s="16"/>
      <c r="P726" s="16"/>
      <c r="Q726" s="16"/>
      <c r="R726" s="16"/>
      <c r="S726" s="16"/>
    </row>
    <row r="727" spans="1:19" customFormat="1" ht="15" x14ac:dyDescent="0.25">
      <c r="B727" s="113"/>
      <c r="C727" s="54"/>
    </row>
    <row r="728" spans="1:19" customFormat="1" ht="15" x14ac:dyDescent="0.25">
      <c r="B728" s="113"/>
      <c r="C728" s="54"/>
    </row>
    <row r="729" spans="1:19" s="115" customFormat="1" ht="18.75" x14ac:dyDescent="0.2">
      <c r="A729" s="66" t="s">
        <v>16</v>
      </c>
      <c r="B729" s="93" t="s">
        <v>3361</v>
      </c>
      <c r="C729" s="93" t="s">
        <v>3322</v>
      </c>
      <c r="D729" s="94"/>
      <c r="E729" s="93" t="s">
        <v>3323</v>
      </c>
      <c r="F729" s="94"/>
      <c r="G729" s="93" t="s">
        <v>3324</v>
      </c>
      <c r="H729" s="94"/>
      <c r="I729" s="66"/>
      <c r="J729" s="66"/>
      <c r="K729" s="66"/>
      <c r="L729" s="66"/>
      <c r="M729" s="66"/>
      <c r="N729" s="66"/>
      <c r="O729" s="66" t="s">
        <v>4342</v>
      </c>
      <c r="P729" s="66"/>
      <c r="Q729" s="66"/>
      <c r="R729" s="66"/>
      <c r="S729" s="66"/>
    </row>
    <row r="730" spans="1:19" s="115" customFormat="1" x14ac:dyDescent="0.2">
      <c r="A730" s="70" t="s">
        <v>3327</v>
      </c>
      <c r="B730" s="70" t="s">
        <v>3362</v>
      </c>
      <c r="C730" s="70" t="s">
        <v>3321</v>
      </c>
      <c r="D730" s="95"/>
      <c r="E730" s="70" t="s">
        <v>3378</v>
      </c>
      <c r="F730" s="95"/>
      <c r="G730" s="70" t="s">
        <v>3379</v>
      </c>
      <c r="H730" s="95"/>
      <c r="I730" s="70"/>
      <c r="J730" s="70"/>
      <c r="K730" s="70" t="s">
        <v>17</v>
      </c>
      <c r="L730" s="67"/>
      <c r="M730" s="67"/>
      <c r="N730" s="67"/>
      <c r="O730" s="67"/>
      <c r="P730" s="67"/>
      <c r="Q730" s="67"/>
      <c r="R730" s="67"/>
      <c r="S730" s="67"/>
    </row>
    <row r="731" spans="1:19" s="115" customFormat="1" x14ac:dyDescent="0.2">
      <c r="A731" s="70" t="s">
        <v>3328</v>
      </c>
      <c r="B731" s="70" t="s">
        <v>3363</v>
      </c>
      <c r="C731" s="70" t="s">
        <v>3445</v>
      </c>
      <c r="D731" s="95" t="s">
        <v>3438</v>
      </c>
      <c r="E731" s="70" t="s">
        <v>3446</v>
      </c>
      <c r="F731" s="95" t="s">
        <v>3439</v>
      </c>
      <c r="G731" s="70" t="s">
        <v>3380</v>
      </c>
      <c r="H731" s="95" t="s">
        <v>3440</v>
      </c>
      <c r="I731" s="70"/>
      <c r="J731" s="70"/>
      <c r="K731" s="70" t="s">
        <v>17</v>
      </c>
      <c r="L731" s="67"/>
      <c r="M731" s="67"/>
      <c r="N731" s="67"/>
      <c r="O731" s="67"/>
      <c r="P731" s="67"/>
      <c r="Q731" s="67"/>
      <c r="R731" s="67"/>
      <c r="S731" s="67"/>
    </row>
    <row r="732" spans="1:19" s="115" customFormat="1" ht="36" customHeight="1" x14ac:dyDescent="0.2">
      <c r="A732" s="69" t="s">
        <v>16</v>
      </c>
      <c r="B732" s="69" t="s">
        <v>3364</v>
      </c>
      <c r="C732" s="69" t="s">
        <v>3436</v>
      </c>
      <c r="D732" s="96"/>
      <c r="E732" s="69" t="s">
        <v>3381</v>
      </c>
      <c r="F732" s="96"/>
      <c r="G732" s="69" t="s">
        <v>3437</v>
      </c>
      <c r="H732" s="96"/>
      <c r="I732" s="69"/>
      <c r="J732" s="68"/>
      <c r="K732" s="68"/>
      <c r="L732" s="68"/>
      <c r="M732" s="68"/>
      <c r="N732" s="68"/>
      <c r="O732" s="68" t="s">
        <v>3451</v>
      </c>
      <c r="P732" s="69" t="s">
        <v>47</v>
      </c>
      <c r="Q732" s="68"/>
      <c r="R732" s="68"/>
      <c r="S732" s="68"/>
    </row>
    <row r="733" spans="1:19" s="115" customFormat="1" outlineLevel="1" x14ac:dyDescent="0.2">
      <c r="A733" s="70" t="s">
        <v>2202</v>
      </c>
      <c r="B733" s="67" t="s">
        <v>3430</v>
      </c>
      <c r="C733" s="67" t="s">
        <v>3425</v>
      </c>
      <c r="D733" s="97"/>
      <c r="E733" s="70" t="s">
        <v>3426</v>
      </c>
      <c r="F733" s="95"/>
      <c r="G733" s="70" t="s">
        <v>3427</v>
      </c>
      <c r="H733" s="95"/>
      <c r="I733" s="67"/>
      <c r="J733" s="67"/>
      <c r="K733" s="67"/>
      <c r="L733" s="67"/>
      <c r="M733" s="67"/>
      <c r="N733" s="67"/>
      <c r="O733" s="67"/>
      <c r="P733" s="67" t="s">
        <v>820</v>
      </c>
      <c r="Q733" s="67"/>
      <c r="R733" s="67"/>
      <c r="S733" s="67"/>
    </row>
    <row r="734" spans="1:19" s="115" customFormat="1" outlineLevel="1" x14ac:dyDescent="0.2">
      <c r="A734" s="70" t="s">
        <v>2202</v>
      </c>
      <c r="B734" s="70" t="s">
        <v>3365</v>
      </c>
      <c r="C734" s="70" t="s">
        <v>3388</v>
      </c>
      <c r="D734" s="95"/>
      <c r="E734" s="70" t="s">
        <v>3389</v>
      </c>
      <c r="F734" s="95"/>
      <c r="G734" s="70" t="s">
        <v>3390</v>
      </c>
      <c r="H734" s="95"/>
      <c r="I734" s="70"/>
      <c r="J734" s="67"/>
      <c r="K734" s="67" t="s">
        <v>17</v>
      </c>
      <c r="L734" s="67"/>
      <c r="M734" s="67"/>
      <c r="N734" s="67"/>
      <c r="O734" s="67"/>
      <c r="P734" s="70" t="s">
        <v>821</v>
      </c>
      <c r="Q734" s="67"/>
      <c r="R734" s="67"/>
      <c r="S734" s="67"/>
    </row>
    <row r="735" spans="1:19" s="115" customFormat="1" outlineLevel="1" x14ac:dyDescent="0.2">
      <c r="A735" s="70" t="s">
        <v>2202</v>
      </c>
      <c r="B735" s="70" t="s">
        <v>3366</v>
      </c>
      <c r="C735" s="67" t="s">
        <v>3422</v>
      </c>
      <c r="D735" s="97"/>
      <c r="E735" s="70" t="s">
        <v>3391</v>
      </c>
      <c r="F735" s="95"/>
      <c r="G735" s="70" t="s">
        <v>3392</v>
      </c>
      <c r="H735" s="95"/>
      <c r="I735" s="67"/>
      <c r="J735" s="67"/>
      <c r="K735" s="67" t="s">
        <v>17</v>
      </c>
      <c r="L735" s="67"/>
      <c r="M735" s="67"/>
      <c r="N735" s="67"/>
      <c r="O735" s="67"/>
      <c r="P735" s="67" t="s">
        <v>821</v>
      </c>
      <c r="Q735" s="67"/>
      <c r="R735" s="67"/>
      <c r="S735" s="67"/>
    </row>
    <row r="736" spans="1:19" s="115" customFormat="1" outlineLevel="1" x14ac:dyDescent="0.2">
      <c r="A736" s="70" t="s">
        <v>2202</v>
      </c>
      <c r="B736" s="70" t="s">
        <v>3367</v>
      </c>
      <c r="C736" s="70" t="s">
        <v>3393</v>
      </c>
      <c r="D736" s="95"/>
      <c r="E736" s="70" t="s">
        <v>3394</v>
      </c>
      <c r="F736" s="95"/>
      <c r="G736" s="70" t="s">
        <v>3395</v>
      </c>
      <c r="H736" s="95"/>
      <c r="I736" s="70"/>
      <c r="J736" s="67"/>
      <c r="K736" s="67" t="s">
        <v>17</v>
      </c>
      <c r="L736" s="67"/>
      <c r="M736" s="67"/>
      <c r="N736" s="67"/>
      <c r="O736" s="67"/>
      <c r="P736" s="70" t="s">
        <v>821</v>
      </c>
      <c r="Q736" s="67"/>
      <c r="R736" s="67"/>
      <c r="S736" s="67"/>
    </row>
    <row r="737" spans="1:19" s="115" customFormat="1" outlineLevel="1" x14ac:dyDescent="0.2">
      <c r="A737" s="70" t="s">
        <v>2202</v>
      </c>
      <c r="B737" s="70" t="s">
        <v>3368</v>
      </c>
      <c r="C737" s="67" t="s">
        <v>3423</v>
      </c>
      <c r="D737" s="97"/>
      <c r="E737" s="70" t="s">
        <v>3396</v>
      </c>
      <c r="F737" s="95"/>
      <c r="G737" s="70" t="s">
        <v>3397</v>
      </c>
      <c r="H737" s="95"/>
      <c r="I737" s="67"/>
      <c r="J737" s="67"/>
      <c r="K737" s="67" t="s">
        <v>17</v>
      </c>
      <c r="L737" s="67"/>
      <c r="M737" s="67"/>
      <c r="N737" s="67"/>
      <c r="O737" s="67"/>
      <c r="P737" s="67" t="s">
        <v>821</v>
      </c>
      <c r="Q737" s="67"/>
      <c r="R737" s="67"/>
      <c r="S737" s="67"/>
    </row>
    <row r="738" spans="1:19" s="115" customFormat="1" outlineLevel="1" x14ac:dyDescent="0.2">
      <c r="A738" s="70" t="s">
        <v>2202</v>
      </c>
      <c r="B738" s="70" t="s">
        <v>3369</v>
      </c>
      <c r="C738" s="70" t="s">
        <v>3398</v>
      </c>
      <c r="D738" s="95"/>
      <c r="E738" s="70" t="s">
        <v>3399</v>
      </c>
      <c r="F738" s="95"/>
      <c r="G738" s="70" t="s">
        <v>3400</v>
      </c>
      <c r="H738" s="95"/>
      <c r="I738" s="70"/>
      <c r="J738" s="67"/>
      <c r="K738" s="67" t="s">
        <v>17</v>
      </c>
      <c r="L738" s="67"/>
      <c r="M738" s="67"/>
      <c r="N738" s="67"/>
      <c r="O738" s="67"/>
      <c r="P738" s="70" t="s">
        <v>821</v>
      </c>
      <c r="Q738" s="67"/>
      <c r="R738" s="67"/>
      <c r="S738" s="67"/>
    </row>
    <row r="739" spans="1:19" s="115" customFormat="1" x14ac:dyDescent="0.2">
      <c r="A739" s="70" t="s">
        <v>2202</v>
      </c>
      <c r="B739" s="70" t="s">
        <v>3370</v>
      </c>
      <c r="C739" s="67" t="s">
        <v>3447</v>
      </c>
      <c r="D739" s="97"/>
      <c r="E739" s="70" t="s">
        <v>3401</v>
      </c>
      <c r="F739" s="95"/>
      <c r="G739" s="70" t="s">
        <v>3450</v>
      </c>
      <c r="H739" s="95"/>
      <c r="I739" s="67"/>
      <c r="J739" s="67"/>
      <c r="K739" s="67" t="s">
        <v>17</v>
      </c>
      <c r="L739" s="67"/>
      <c r="M739" s="67"/>
      <c r="N739" s="67"/>
      <c r="O739" s="67"/>
      <c r="P739" s="70" t="s">
        <v>821</v>
      </c>
      <c r="Q739" s="67"/>
      <c r="R739" s="67"/>
      <c r="S739" s="67"/>
    </row>
    <row r="740" spans="1:19" s="115" customFormat="1" x14ac:dyDescent="0.2">
      <c r="A740" s="70" t="s">
        <v>2202</v>
      </c>
      <c r="B740" s="70" t="s">
        <v>3371</v>
      </c>
      <c r="C740" s="70" t="s">
        <v>3424</v>
      </c>
      <c r="D740" s="95"/>
      <c r="E740" s="70" t="s">
        <v>3402</v>
      </c>
      <c r="F740" s="95"/>
      <c r="G740" s="70" t="s">
        <v>3403</v>
      </c>
      <c r="H740" s="95"/>
      <c r="I740" s="70"/>
      <c r="J740" s="70"/>
      <c r="K740" s="67" t="s">
        <v>17</v>
      </c>
      <c r="L740" s="67"/>
      <c r="M740" s="67"/>
      <c r="N740" s="67"/>
      <c r="O740" s="67"/>
      <c r="P740" s="70" t="s">
        <v>821</v>
      </c>
      <c r="Q740" s="67"/>
      <c r="R740" s="67"/>
      <c r="S740" s="67"/>
    </row>
    <row r="741" spans="1:19" s="115" customFormat="1" x14ac:dyDescent="0.2">
      <c r="A741" s="70" t="s">
        <v>2202</v>
      </c>
      <c r="B741" s="70" t="s">
        <v>3372</v>
      </c>
      <c r="C741" s="70" t="s">
        <v>3448</v>
      </c>
      <c r="D741" s="95"/>
      <c r="E741" s="70" t="s">
        <v>3404</v>
      </c>
      <c r="F741" s="95"/>
      <c r="G741" s="70" t="s">
        <v>3405</v>
      </c>
      <c r="H741" s="95"/>
      <c r="I741" s="70"/>
      <c r="J741" s="70"/>
      <c r="K741" s="67" t="s">
        <v>17</v>
      </c>
      <c r="L741" s="67"/>
      <c r="M741" s="67"/>
      <c r="N741" s="67"/>
      <c r="O741" s="67"/>
      <c r="P741" s="70" t="s">
        <v>821</v>
      </c>
      <c r="Q741" s="67"/>
      <c r="R741" s="67"/>
      <c r="S741" s="67"/>
    </row>
    <row r="742" spans="1:19" s="115" customFormat="1" x14ac:dyDescent="0.2">
      <c r="A742" s="70" t="s">
        <v>2202</v>
      </c>
      <c r="B742" s="70" t="s">
        <v>3373</v>
      </c>
      <c r="C742" s="70" t="s">
        <v>3449</v>
      </c>
      <c r="D742" s="95"/>
      <c r="E742" s="70" t="s">
        <v>3406</v>
      </c>
      <c r="F742" s="95"/>
      <c r="G742" s="70" t="s">
        <v>3407</v>
      </c>
      <c r="H742" s="95"/>
      <c r="I742" s="70"/>
      <c r="J742" s="70"/>
      <c r="K742" s="67" t="s">
        <v>17</v>
      </c>
      <c r="L742" s="67"/>
      <c r="M742" s="67"/>
      <c r="N742" s="67"/>
      <c r="O742" s="67"/>
      <c r="P742" s="70" t="s">
        <v>821</v>
      </c>
      <c r="Q742" s="67"/>
      <c r="R742" s="67"/>
      <c r="S742" s="67"/>
    </row>
    <row r="743" spans="1:19" s="115" customFormat="1" x14ac:dyDescent="0.2">
      <c r="A743" s="70" t="s">
        <v>2202</v>
      </c>
      <c r="B743" s="70" t="s">
        <v>3374</v>
      </c>
      <c r="C743" s="70" t="s">
        <v>3415</v>
      </c>
      <c r="D743" s="95"/>
      <c r="E743" s="70" t="s">
        <v>3416</v>
      </c>
      <c r="F743" s="95"/>
      <c r="G743" s="70" t="s">
        <v>3417</v>
      </c>
      <c r="H743" s="95"/>
      <c r="I743" s="70"/>
      <c r="J743" s="70"/>
      <c r="K743" s="67" t="s">
        <v>17</v>
      </c>
      <c r="L743" s="67"/>
      <c r="M743" s="67"/>
      <c r="N743" s="67"/>
      <c r="O743" s="67"/>
      <c r="P743" s="70" t="s">
        <v>821</v>
      </c>
      <c r="Q743" s="67"/>
      <c r="R743" s="67"/>
      <c r="S743" s="67"/>
    </row>
    <row r="744" spans="1:19" s="115" customFormat="1" ht="15.75" x14ac:dyDescent="0.2">
      <c r="A744" s="69" t="s">
        <v>48</v>
      </c>
      <c r="B744" s="69" t="s">
        <v>3364</v>
      </c>
      <c r="C744" s="68"/>
      <c r="D744" s="98"/>
      <c r="E744" s="69"/>
      <c r="F744" s="96"/>
      <c r="G744" s="69"/>
      <c r="H744" s="96"/>
      <c r="I744" s="68"/>
      <c r="J744" s="68"/>
      <c r="K744" s="68"/>
      <c r="L744" s="68"/>
      <c r="M744" s="68"/>
      <c r="N744" s="68"/>
      <c r="O744" s="68"/>
      <c r="P744" s="68"/>
      <c r="Q744" s="68"/>
      <c r="R744" s="68"/>
      <c r="S744" s="68"/>
    </row>
    <row r="745" spans="1:19" s="115" customFormat="1" x14ac:dyDescent="0.2">
      <c r="A745" s="70"/>
      <c r="B745" s="70"/>
      <c r="C745" s="70"/>
      <c r="D745" s="95"/>
      <c r="E745" s="70"/>
      <c r="F745" s="95"/>
      <c r="G745" s="70"/>
      <c r="H745" s="95"/>
      <c r="I745" s="70"/>
      <c r="J745" s="70"/>
      <c r="K745" s="70"/>
      <c r="L745" s="67"/>
      <c r="M745" s="67"/>
      <c r="N745" s="67"/>
      <c r="O745" s="67"/>
      <c r="P745" s="67"/>
      <c r="Q745" s="67"/>
      <c r="R745" s="67"/>
      <c r="S745" s="67"/>
    </row>
    <row r="746" spans="1:19" s="115" customFormat="1" x14ac:dyDescent="0.2">
      <c r="A746" s="70" t="s">
        <v>3329</v>
      </c>
      <c r="B746" s="70" t="s">
        <v>3375</v>
      </c>
      <c r="C746" s="70" t="s">
        <v>3325</v>
      </c>
      <c r="D746" s="95"/>
      <c r="E746" s="70" t="s">
        <v>3382</v>
      </c>
      <c r="F746" s="95"/>
      <c r="G746" s="70" t="s">
        <v>3383</v>
      </c>
      <c r="H746" s="95"/>
      <c r="I746" s="70"/>
      <c r="J746" s="70"/>
      <c r="K746" s="70" t="s">
        <v>17</v>
      </c>
      <c r="L746" s="67"/>
      <c r="M746" s="67"/>
      <c r="N746" s="67"/>
      <c r="O746" s="67"/>
      <c r="P746" s="67"/>
      <c r="Q746" s="67"/>
      <c r="R746" s="67"/>
      <c r="S746" s="67"/>
    </row>
    <row r="747" spans="1:19" s="115" customFormat="1" ht="73.150000000000006" customHeight="1" x14ac:dyDescent="0.2">
      <c r="A747" s="69" t="s">
        <v>16</v>
      </c>
      <c r="B747" s="69" t="s">
        <v>3384</v>
      </c>
      <c r="C747" s="69" t="s">
        <v>3433</v>
      </c>
      <c r="D747" s="96"/>
      <c r="E747" s="69" t="s">
        <v>3435</v>
      </c>
      <c r="F747" s="96"/>
      <c r="G747" s="69" t="s">
        <v>3434</v>
      </c>
      <c r="H747" s="96"/>
      <c r="I747" s="69"/>
      <c r="J747" s="68"/>
      <c r="K747" s="68"/>
      <c r="L747" s="68"/>
      <c r="M747" s="68"/>
      <c r="N747" s="68"/>
      <c r="O747" s="68"/>
      <c r="P747" s="69" t="s">
        <v>47</v>
      </c>
      <c r="Q747" s="68"/>
      <c r="R747" s="68"/>
      <c r="S747" s="68"/>
    </row>
    <row r="748" spans="1:19" s="115" customFormat="1" outlineLevel="1" x14ac:dyDescent="0.2">
      <c r="A748" s="70" t="s">
        <v>3330</v>
      </c>
      <c r="B748" s="67" t="s">
        <v>3376</v>
      </c>
      <c r="C748" s="67" t="s">
        <v>2916</v>
      </c>
      <c r="D748" s="97"/>
      <c r="E748" s="70" t="s">
        <v>3428</v>
      </c>
      <c r="F748" s="95"/>
      <c r="G748" s="70" t="s">
        <v>3429</v>
      </c>
      <c r="H748" s="95"/>
      <c r="I748" s="67"/>
      <c r="J748" s="67"/>
      <c r="K748" s="70"/>
      <c r="L748" s="67"/>
      <c r="M748" s="67"/>
      <c r="N748" s="67"/>
      <c r="O748" s="67"/>
      <c r="P748" s="67" t="s">
        <v>820</v>
      </c>
      <c r="Q748" s="67"/>
      <c r="R748" s="67"/>
      <c r="S748" s="67"/>
    </row>
    <row r="749" spans="1:19" s="115" customFormat="1" x14ac:dyDescent="0.2">
      <c r="A749" s="70" t="s">
        <v>3330</v>
      </c>
      <c r="B749" s="70" t="s">
        <v>3385</v>
      </c>
      <c r="C749" s="70" t="s">
        <v>3408</v>
      </c>
      <c r="D749" s="95"/>
      <c r="E749" s="70" t="s">
        <v>3421</v>
      </c>
      <c r="F749" s="95"/>
      <c r="G749" s="70" t="s">
        <v>3409</v>
      </c>
      <c r="H749" s="95"/>
      <c r="I749" s="70"/>
      <c r="J749" s="70"/>
      <c r="K749" s="70" t="s">
        <v>17</v>
      </c>
      <c r="L749" s="67"/>
      <c r="M749" s="67"/>
      <c r="N749" s="67"/>
      <c r="O749" s="67"/>
      <c r="P749" s="67" t="s">
        <v>821</v>
      </c>
      <c r="Q749" s="67"/>
      <c r="R749" s="67"/>
      <c r="S749" s="67"/>
    </row>
    <row r="750" spans="1:19" s="115" customFormat="1" x14ac:dyDescent="0.2">
      <c r="A750" s="70" t="s">
        <v>3330</v>
      </c>
      <c r="B750" s="70" t="s">
        <v>3418</v>
      </c>
      <c r="C750" s="70" t="s">
        <v>3431</v>
      </c>
      <c r="D750" s="95"/>
      <c r="E750" s="70" t="s">
        <v>3410</v>
      </c>
      <c r="F750" s="95"/>
      <c r="G750" s="70" t="s">
        <v>3411</v>
      </c>
      <c r="H750" s="95"/>
      <c r="I750" s="70"/>
      <c r="J750" s="70"/>
      <c r="K750" s="70" t="s">
        <v>17</v>
      </c>
      <c r="L750" s="67"/>
      <c r="M750" s="67"/>
      <c r="N750" s="67"/>
      <c r="O750" s="67"/>
      <c r="P750" s="67" t="s">
        <v>821</v>
      </c>
      <c r="Q750" s="67"/>
      <c r="R750" s="67"/>
      <c r="S750" s="67"/>
    </row>
    <row r="751" spans="1:19" s="115" customFormat="1" x14ac:dyDescent="0.2">
      <c r="A751" s="70" t="s">
        <v>3330</v>
      </c>
      <c r="B751" s="70" t="s">
        <v>3419</v>
      </c>
      <c r="C751" s="70" t="s">
        <v>3412</v>
      </c>
      <c r="D751" s="95"/>
      <c r="E751" s="70" t="s">
        <v>3413</v>
      </c>
      <c r="F751" s="95"/>
      <c r="G751" s="70" t="s">
        <v>3414</v>
      </c>
      <c r="H751" s="95"/>
      <c r="I751" s="70"/>
      <c r="J751" s="70"/>
      <c r="K751" s="70" t="s">
        <v>17</v>
      </c>
      <c r="L751" s="67"/>
      <c r="M751" s="67"/>
      <c r="N751" s="67"/>
      <c r="O751" s="67"/>
      <c r="P751" s="67" t="s">
        <v>821</v>
      </c>
      <c r="Q751" s="67"/>
      <c r="R751" s="67"/>
      <c r="S751" s="67"/>
    </row>
    <row r="752" spans="1:19" s="115" customFormat="1" x14ac:dyDescent="0.2">
      <c r="A752" s="70" t="s">
        <v>3330</v>
      </c>
      <c r="B752" s="70" t="s">
        <v>3420</v>
      </c>
      <c r="C752" s="70" t="s">
        <v>3432</v>
      </c>
      <c r="D752" s="95"/>
      <c r="E752" s="70" t="s">
        <v>3386</v>
      </c>
      <c r="F752" s="95"/>
      <c r="G752" s="70" t="s">
        <v>3387</v>
      </c>
      <c r="H752" s="95"/>
      <c r="I752" s="70"/>
      <c r="J752" s="70"/>
      <c r="K752" s="70" t="s">
        <v>17</v>
      </c>
      <c r="L752" s="67"/>
      <c r="M752" s="67"/>
      <c r="N752" s="67"/>
      <c r="O752" s="67"/>
      <c r="P752" s="67" t="s">
        <v>821</v>
      </c>
      <c r="Q752" s="67"/>
      <c r="R752" s="67"/>
      <c r="S752" s="67"/>
    </row>
    <row r="753" spans="1:19" s="115" customFormat="1" ht="15.75" x14ac:dyDescent="0.2">
      <c r="A753" s="69" t="s">
        <v>48</v>
      </c>
      <c r="B753" s="69" t="s">
        <v>3384</v>
      </c>
      <c r="C753" s="68"/>
      <c r="D753" s="98"/>
      <c r="E753" s="69"/>
      <c r="F753" s="96"/>
      <c r="G753" s="69"/>
      <c r="H753" s="96"/>
      <c r="I753" s="68"/>
      <c r="J753" s="68"/>
      <c r="K753" s="68"/>
      <c r="L753" s="68"/>
      <c r="M753" s="68"/>
      <c r="N753" s="68"/>
      <c r="O753" s="68"/>
      <c r="P753" s="68"/>
      <c r="Q753" s="68"/>
      <c r="R753" s="68"/>
      <c r="S753" s="68"/>
    </row>
    <row r="754" spans="1:19" s="118" customFormat="1" ht="15" x14ac:dyDescent="0.25">
      <c r="A754" s="116" t="s">
        <v>1902</v>
      </c>
      <c r="B754" s="116" t="s">
        <v>3377</v>
      </c>
      <c r="C754" s="71" t="s">
        <v>3326</v>
      </c>
      <c r="D754" s="117"/>
      <c r="E754" s="71" t="s">
        <v>3453</v>
      </c>
      <c r="F754" s="117"/>
      <c r="G754" s="71" t="s">
        <v>3453</v>
      </c>
      <c r="H754" s="117"/>
      <c r="I754" s="117"/>
      <c r="J754" s="117"/>
      <c r="K754" s="116"/>
      <c r="O754" s="116" t="s">
        <v>29</v>
      </c>
    </row>
    <row r="755" spans="1:19" s="118" customFormat="1" ht="15" x14ac:dyDescent="0.25">
      <c r="A755" s="116" t="s">
        <v>21</v>
      </c>
      <c r="B755" s="116" t="s">
        <v>4889</v>
      </c>
      <c r="C755" s="72"/>
      <c r="D755" s="117"/>
      <c r="E755" s="72"/>
      <c r="F755" s="117"/>
      <c r="G755" s="72"/>
      <c r="H755" s="117"/>
      <c r="I755" s="117"/>
      <c r="J755" s="117"/>
      <c r="K755" s="116"/>
      <c r="M755" s="118" t="s">
        <v>3452</v>
      </c>
    </row>
    <row r="756" spans="1:19" s="115" customFormat="1" x14ac:dyDescent="0.2">
      <c r="A756" s="70"/>
      <c r="B756" s="70"/>
      <c r="C756" s="70"/>
      <c r="D756" s="95"/>
      <c r="E756" s="70"/>
      <c r="F756" s="95"/>
      <c r="G756" s="70"/>
      <c r="H756" s="95"/>
      <c r="I756" s="70"/>
      <c r="J756" s="70"/>
      <c r="K756" s="70"/>
      <c r="L756" s="67"/>
      <c r="M756" s="67"/>
      <c r="N756" s="67"/>
      <c r="O756" s="67"/>
      <c r="P756" s="67"/>
      <c r="Q756" s="67"/>
      <c r="R756" s="67"/>
      <c r="S756" s="67"/>
    </row>
    <row r="757" spans="1:19" s="115" customFormat="1" ht="18.75" x14ac:dyDescent="0.2">
      <c r="A757" s="66" t="s">
        <v>48</v>
      </c>
      <c r="B757" s="93" t="s">
        <v>3361</v>
      </c>
      <c r="C757" s="93"/>
      <c r="D757" s="94"/>
      <c r="E757" s="93"/>
      <c r="F757" s="94"/>
      <c r="G757" s="93"/>
      <c r="H757" s="94"/>
      <c r="I757" s="66"/>
      <c r="J757" s="66"/>
      <c r="K757" s="66"/>
      <c r="L757" s="66"/>
      <c r="M757" s="66"/>
      <c r="N757" s="66"/>
      <c r="O757" s="66"/>
      <c r="P757" s="66"/>
      <c r="Q757" s="66"/>
      <c r="R757" s="66"/>
      <c r="S757" s="66"/>
    </row>
    <row r="758" spans="1:19" customFormat="1" ht="15" x14ac:dyDescent="0.25">
      <c r="A758" s="113"/>
      <c r="B758" s="113"/>
      <c r="C758" s="55"/>
      <c r="D758" s="1"/>
      <c r="E758" s="55"/>
      <c r="F758" s="1"/>
      <c r="G758" s="55"/>
      <c r="H758" s="1"/>
      <c r="I758" s="1"/>
      <c r="J758" s="1"/>
      <c r="K758" s="113"/>
    </row>
    <row r="759" spans="1:19" customFormat="1" ht="15" x14ac:dyDescent="0.25">
      <c r="A759" s="113"/>
      <c r="B759" s="113"/>
      <c r="C759" s="55"/>
      <c r="D759" s="1"/>
      <c r="E759" s="55"/>
      <c r="F759" s="1"/>
      <c r="G759" s="55"/>
      <c r="H759" s="1"/>
      <c r="I759" s="1"/>
      <c r="J759" s="1"/>
      <c r="K759" s="113"/>
    </row>
    <row r="760" spans="1:19" s="158" customFormat="1" ht="18.75" x14ac:dyDescent="0.2">
      <c r="A760" s="160" t="s">
        <v>16</v>
      </c>
      <c r="B760" s="161" t="s">
        <v>4417</v>
      </c>
      <c r="C760" s="161" t="s">
        <v>4414</v>
      </c>
      <c r="D760" s="162"/>
      <c r="E760" s="162" t="s">
        <v>4415</v>
      </c>
      <c r="F760" s="162"/>
      <c r="G760" s="161" t="s">
        <v>4416</v>
      </c>
      <c r="H760" s="162"/>
      <c r="I760" s="160"/>
      <c r="J760" s="160"/>
      <c r="K760" s="160"/>
      <c r="L760" s="160"/>
      <c r="M760" s="160"/>
      <c r="N760" s="160"/>
      <c r="O760" s="160" t="s">
        <v>4342</v>
      </c>
      <c r="P760" s="160"/>
      <c r="Q760" s="160"/>
      <c r="R760" s="160"/>
      <c r="S760" s="160"/>
    </row>
    <row r="761" spans="1:19" s="158" customFormat="1" x14ac:dyDescent="0.2">
      <c r="A761" s="155" t="s">
        <v>22</v>
      </c>
      <c r="B761" s="155" t="s">
        <v>4420</v>
      </c>
      <c r="C761" s="155" t="s">
        <v>4421</v>
      </c>
      <c r="E761" s="159" t="s">
        <v>4422</v>
      </c>
      <c r="F761" s="159"/>
      <c r="G761" s="155" t="s">
        <v>4423</v>
      </c>
      <c r="H761" s="159"/>
      <c r="I761" s="157"/>
      <c r="J761" s="155"/>
      <c r="K761" s="155"/>
      <c r="L761" s="163"/>
      <c r="M761" s="163"/>
      <c r="N761" s="163"/>
      <c r="O761" s="163"/>
      <c r="P761" s="163"/>
      <c r="Q761" s="163"/>
      <c r="R761" s="163"/>
      <c r="S761" s="163"/>
    </row>
    <row r="762" spans="1:19" s="158" customFormat="1" x14ac:dyDescent="0.2">
      <c r="A762" s="155" t="s">
        <v>1886</v>
      </c>
      <c r="B762" s="155" t="s">
        <v>4418</v>
      </c>
      <c r="C762" s="155" t="s">
        <v>4419</v>
      </c>
      <c r="D762" s="159"/>
      <c r="E762" s="155" t="s">
        <v>4424</v>
      </c>
      <c r="F762" s="159"/>
      <c r="G762" s="155" t="s">
        <v>4425</v>
      </c>
      <c r="H762" s="159"/>
      <c r="I762" s="157"/>
      <c r="J762" s="155"/>
      <c r="K762" s="155" t="s">
        <v>17</v>
      </c>
      <c r="L762" s="163"/>
      <c r="M762" s="163"/>
      <c r="N762" s="163"/>
      <c r="O762" s="163"/>
      <c r="P762" s="163"/>
      <c r="Q762" s="163"/>
      <c r="R762" s="163"/>
      <c r="S762" s="163"/>
    </row>
    <row r="763" spans="1:19" s="158" customFormat="1" x14ac:dyDescent="0.2">
      <c r="A763" s="155" t="s">
        <v>2202</v>
      </c>
      <c r="B763" s="155" t="s">
        <v>4429</v>
      </c>
      <c r="C763" s="155" t="s">
        <v>4426</v>
      </c>
      <c r="D763" s="159"/>
      <c r="E763" s="155" t="s">
        <v>4427</v>
      </c>
      <c r="F763" s="159"/>
      <c r="G763" s="155" t="s">
        <v>4428</v>
      </c>
      <c r="H763" s="159"/>
      <c r="I763" s="157"/>
      <c r="J763" s="155"/>
      <c r="K763" s="155" t="s">
        <v>17</v>
      </c>
      <c r="L763" s="163"/>
      <c r="M763" s="163"/>
      <c r="N763" s="163"/>
      <c r="O763" s="163"/>
      <c r="P763" s="163"/>
      <c r="Q763" s="163"/>
      <c r="R763" s="163"/>
      <c r="S763" s="163"/>
    </row>
    <row r="764" spans="1:19" s="158" customFormat="1" x14ac:dyDescent="0.2">
      <c r="A764" s="155" t="s">
        <v>2202</v>
      </c>
      <c r="B764" s="155" t="s">
        <v>4431</v>
      </c>
      <c r="C764" s="155" t="s">
        <v>4430</v>
      </c>
      <c r="D764" s="159"/>
      <c r="E764" s="155" t="s">
        <v>4432</v>
      </c>
      <c r="F764" s="159"/>
      <c r="G764" s="155" t="s">
        <v>4433</v>
      </c>
      <c r="H764" s="159"/>
      <c r="I764" s="157"/>
      <c r="J764" s="155"/>
      <c r="K764" s="155" t="s">
        <v>17</v>
      </c>
      <c r="L764" s="163"/>
      <c r="M764" s="163"/>
      <c r="N764" s="163"/>
      <c r="O764" s="163"/>
      <c r="P764" s="163"/>
      <c r="Q764" s="163"/>
      <c r="R764" s="163"/>
      <c r="S764" s="163"/>
    </row>
    <row r="765" spans="1:19" s="158" customFormat="1" x14ac:dyDescent="0.2">
      <c r="A765" s="155" t="s">
        <v>4451</v>
      </c>
      <c r="B765" s="155" t="s">
        <v>4452</v>
      </c>
      <c r="C765" s="155" t="s">
        <v>4434</v>
      </c>
      <c r="D765" s="159"/>
      <c r="E765" s="155" t="s">
        <v>4453</v>
      </c>
      <c r="F765" s="159"/>
      <c r="G765" s="155" t="s">
        <v>4454</v>
      </c>
      <c r="H765" s="159"/>
      <c r="I765" s="157"/>
      <c r="J765" s="155"/>
      <c r="K765" s="155" t="s">
        <v>17</v>
      </c>
      <c r="L765" s="163"/>
      <c r="M765" s="163"/>
      <c r="N765" s="163"/>
      <c r="O765" s="163"/>
      <c r="P765" s="163"/>
      <c r="Q765" s="163"/>
      <c r="R765" s="163"/>
      <c r="S765" s="163"/>
    </row>
    <row r="766" spans="1:19" s="158" customFormat="1" x14ac:dyDescent="0.2">
      <c r="A766" s="155" t="s">
        <v>4455</v>
      </c>
      <c r="B766" s="155" t="s">
        <v>4456</v>
      </c>
      <c r="C766" s="155" t="s">
        <v>4457</v>
      </c>
      <c r="D766" s="159"/>
      <c r="E766" s="155" t="s">
        <v>4458</v>
      </c>
      <c r="F766" s="159"/>
      <c r="G766" s="155" t="s">
        <v>4459</v>
      </c>
      <c r="H766" s="159"/>
      <c r="I766" s="157"/>
      <c r="J766" s="155"/>
      <c r="K766" s="155" t="s">
        <v>17</v>
      </c>
      <c r="L766" s="163"/>
      <c r="M766" s="163"/>
      <c r="N766" s="163"/>
      <c r="O766" s="163"/>
      <c r="P766" s="163"/>
      <c r="Q766" s="163"/>
      <c r="R766" s="163"/>
      <c r="S766" s="163"/>
    </row>
    <row r="767" spans="1:19" s="158" customFormat="1" x14ac:dyDescent="0.2">
      <c r="A767" s="155" t="s">
        <v>4465</v>
      </c>
      <c r="B767" s="155" t="s">
        <v>4466</v>
      </c>
      <c r="C767" s="155" t="s">
        <v>4467</v>
      </c>
      <c r="D767" s="159"/>
      <c r="E767" s="155" t="s">
        <v>4468</v>
      </c>
      <c r="F767" s="159"/>
      <c r="G767" s="155" t="s">
        <v>4469</v>
      </c>
      <c r="H767" s="159"/>
      <c r="I767" s="157"/>
      <c r="J767" s="155"/>
      <c r="K767" s="155" t="s">
        <v>17</v>
      </c>
      <c r="L767" s="163"/>
      <c r="M767" s="163"/>
      <c r="N767" s="163"/>
      <c r="O767" s="163"/>
      <c r="P767" s="163"/>
      <c r="Q767" s="163"/>
      <c r="R767" s="163"/>
      <c r="S767" s="163"/>
    </row>
    <row r="768" spans="1:19" s="158" customFormat="1" x14ac:dyDescent="0.2">
      <c r="A768" s="155" t="s">
        <v>4486</v>
      </c>
      <c r="B768" s="155" t="s">
        <v>4487</v>
      </c>
      <c r="C768" s="155" t="s">
        <v>4488</v>
      </c>
      <c r="D768" s="159"/>
      <c r="E768" s="155" t="s">
        <v>4489</v>
      </c>
      <c r="F768" s="159"/>
      <c r="G768" s="155" t="s">
        <v>4490</v>
      </c>
      <c r="H768" s="159"/>
      <c r="I768" s="157"/>
      <c r="J768" s="155"/>
      <c r="K768" s="155" t="s">
        <v>17</v>
      </c>
      <c r="L768" s="163"/>
      <c r="M768" s="163"/>
      <c r="N768" s="163"/>
      <c r="O768" s="163"/>
      <c r="P768" s="163"/>
      <c r="Q768" s="163"/>
      <c r="R768" s="163"/>
      <c r="S768" s="163"/>
    </row>
    <row r="769" spans="1:21" s="158" customFormat="1" x14ac:dyDescent="0.2">
      <c r="A769" s="155" t="s">
        <v>4501</v>
      </c>
      <c r="B769" s="155" t="s">
        <v>4502</v>
      </c>
      <c r="C769" s="155" t="s">
        <v>4503</v>
      </c>
      <c r="D769" s="159"/>
      <c r="E769" s="155" t="s">
        <v>4504</v>
      </c>
      <c r="F769" s="159"/>
      <c r="G769" s="155" t="s">
        <v>4505</v>
      </c>
      <c r="H769" s="159"/>
      <c r="I769" s="157"/>
      <c r="J769" s="155"/>
      <c r="K769" s="155" t="s">
        <v>17</v>
      </c>
      <c r="L769" s="163"/>
      <c r="M769" s="163"/>
      <c r="N769" s="163"/>
      <c r="O769" s="163"/>
      <c r="P769" s="163"/>
      <c r="Q769" s="163"/>
      <c r="R769" s="163"/>
      <c r="S769" s="163"/>
    </row>
    <row r="770" spans="1:21" s="158" customFormat="1" ht="18.75" x14ac:dyDescent="0.2">
      <c r="A770" s="160" t="s">
        <v>48</v>
      </c>
      <c r="B770" s="161" t="s">
        <v>4417</v>
      </c>
      <c r="C770" s="161"/>
      <c r="D770" s="162"/>
      <c r="E770" s="161"/>
      <c r="F770" s="162"/>
      <c r="G770" s="161"/>
      <c r="H770" s="162"/>
      <c r="I770" s="160"/>
      <c r="J770" s="160"/>
      <c r="K770" s="160"/>
      <c r="L770" s="160"/>
      <c r="M770" s="160"/>
      <c r="N770" s="160"/>
      <c r="O770" s="160"/>
      <c r="P770" s="160"/>
      <c r="Q770" s="160"/>
      <c r="R770" s="160"/>
      <c r="S770" s="160"/>
    </row>
    <row r="771" spans="1:21" s="158" customFormat="1" x14ac:dyDescent="0.2">
      <c r="A771" s="156"/>
      <c r="B771" s="156"/>
      <c r="C771" s="156"/>
      <c r="D771" s="164"/>
      <c r="E771" s="155"/>
      <c r="F771" s="159"/>
      <c r="G771" s="155"/>
      <c r="H771" s="159"/>
      <c r="I771" s="156"/>
      <c r="J771" s="156"/>
      <c r="K771" s="156"/>
      <c r="L771" s="156"/>
      <c r="M771" s="156"/>
      <c r="N771" s="156"/>
      <c r="O771" s="156"/>
      <c r="P771" s="156"/>
      <c r="Q771" s="156"/>
      <c r="R771" s="156"/>
      <c r="S771" s="156"/>
    </row>
    <row r="772" spans="1:21" s="154" customFormat="1" ht="15" x14ac:dyDescent="0.25">
      <c r="A772" s="165" t="s">
        <v>1902</v>
      </c>
      <c r="B772" s="165" t="s">
        <v>4880</v>
      </c>
      <c r="C772" s="166" t="s">
        <v>4881</v>
      </c>
      <c r="D772" s="165"/>
      <c r="E772" s="166" t="s">
        <v>4882</v>
      </c>
      <c r="F772" s="165"/>
      <c r="G772" s="166" t="s">
        <v>4882</v>
      </c>
      <c r="H772" s="165"/>
      <c r="J772" s="154" t="s">
        <v>806</v>
      </c>
      <c r="K772" s="165" t="s">
        <v>17</v>
      </c>
      <c r="O772" s="165" t="s">
        <v>4342</v>
      </c>
    </row>
    <row r="773" spans="1:21" s="106" customFormat="1" ht="15" x14ac:dyDescent="0.25">
      <c r="A773" s="16" t="s">
        <v>21</v>
      </c>
      <c r="B773" s="114" t="s">
        <v>4883</v>
      </c>
      <c r="C773" s="16"/>
      <c r="D773" s="82"/>
      <c r="E773" s="16"/>
      <c r="F773" s="82"/>
      <c r="G773" s="16"/>
      <c r="H773" s="82"/>
      <c r="I773" s="16"/>
      <c r="J773" s="16"/>
      <c r="K773" s="16"/>
      <c r="L773" s="16"/>
      <c r="M773" s="16" t="s">
        <v>4884</v>
      </c>
      <c r="N773" s="16"/>
      <c r="O773" s="16"/>
      <c r="P773" s="16"/>
      <c r="Q773" s="16"/>
      <c r="R773" s="16"/>
      <c r="S773" s="16"/>
    </row>
    <row r="776" spans="1:21" ht="18.75" x14ac:dyDescent="0.2">
      <c r="A776" s="35" t="s">
        <v>16</v>
      </c>
      <c r="B776" s="65" t="s">
        <v>4512</v>
      </c>
      <c r="C776" s="65" t="s">
        <v>4509</v>
      </c>
      <c r="D776" s="64"/>
      <c r="E776" s="65" t="s">
        <v>4510</v>
      </c>
      <c r="F776" s="64"/>
      <c r="G776" s="65" t="s">
        <v>4511</v>
      </c>
      <c r="H776" s="64"/>
      <c r="I776" s="35"/>
      <c r="J776" s="35"/>
      <c r="K776" s="35"/>
      <c r="L776" s="35"/>
      <c r="M776" s="35"/>
      <c r="N776" s="35"/>
      <c r="O776" s="35" t="s">
        <v>4342</v>
      </c>
      <c r="P776" s="35"/>
      <c r="Q776" s="35"/>
      <c r="R776" s="35"/>
      <c r="S776" s="35"/>
    </row>
    <row r="777" spans="1:21" x14ac:dyDescent="0.2">
      <c r="A777" s="7" t="s">
        <v>4536</v>
      </c>
      <c r="B777" s="7" t="s">
        <v>4516</v>
      </c>
      <c r="C777" s="7" t="s">
        <v>4513</v>
      </c>
      <c r="D777" s="24"/>
      <c r="E777" s="7" t="s">
        <v>4514</v>
      </c>
      <c r="G777" s="7" t="s">
        <v>4515</v>
      </c>
      <c r="I777" s="63"/>
      <c r="J777" s="7"/>
      <c r="K777" s="7" t="s">
        <v>17</v>
      </c>
      <c r="L777" s="13"/>
      <c r="M777" s="13"/>
      <c r="N777" s="13"/>
      <c r="O777" s="13"/>
      <c r="P777" s="13"/>
      <c r="Q777" s="13"/>
      <c r="R777" s="13"/>
      <c r="S777" s="13"/>
    </row>
    <row r="778" spans="1:21" x14ac:dyDescent="0.2">
      <c r="A778" s="7" t="s">
        <v>4537</v>
      </c>
      <c r="B778" s="7" t="s">
        <v>4532</v>
      </c>
      <c r="C778" s="7" t="s">
        <v>4533</v>
      </c>
      <c r="D778" s="24"/>
      <c r="E778" s="7" t="s">
        <v>4534</v>
      </c>
      <c r="G778" s="7" t="s">
        <v>4535</v>
      </c>
      <c r="I778" s="63"/>
      <c r="J778" s="7"/>
      <c r="K778" s="7" t="s">
        <v>17</v>
      </c>
      <c r="L778" s="13"/>
      <c r="M778" s="13"/>
      <c r="N778" s="13"/>
      <c r="O778" s="13"/>
      <c r="P778" s="13"/>
      <c r="Q778" s="13"/>
      <c r="R778" s="13"/>
      <c r="S778" s="13"/>
    </row>
    <row r="779" spans="1:21" x14ac:dyDescent="0.2">
      <c r="A779" s="7" t="s">
        <v>4554</v>
      </c>
      <c r="B779" s="7" t="s">
        <v>4555</v>
      </c>
      <c r="C779" s="7" t="s">
        <v>4551</v>
      </c>
      <c r="D779" s="24"/>
      <c r="E779" s="7" t="s">
        <v>4552</v>
      </c>
      <c r="G779" s="7" t="s">
        <v>4553</v>
      </c>
      <c r="I779" s="63"/>
      <c r="J779" s="7"/>
      <c r="K779" s="7" t="s">
        <v>17</v>
      </c>
      <c r="L779" s="13"/>
      <c r="M779" s="13"/>
      <c r="N779" s="13"/>
      <c r="O779" s="13"/>
      <c r="P779" s="13"/>
      <c r="Q779" s="13"/>
      <c r="R779" s="13"/>
      <c r="S779" s="13"/>
    </row>
    <row r="780" spans="1:21" x14ac:dyDescent="0.2">
      <c r="A780" s="7" t="s">
        <v>4570</v>
      </c>
      <c r="B780" s="7" t="s">
        <v>4571</v>
      </c>
      <c r="C780" s="7" t="s">
        <v>4572</v>
      </c>
      <c r="D780" s="24"/>
      <c r="E780" s="7" t="s">
        <v>4573</v>
      </c>
      <c r="G780" s="7" t="s">
        <v>4574</v>
      </c>
      <c r="I780" s="63"/>
      <c r="J780" s="7"/>
      <c r="K780" s="7" t="s">
        <v>17</v>
      </c>
      <c r="L780" s="13"/>
      <c r="M780" s="13"/>
      <c r="N780" s="13"/>
      <c r="O780" s="13"/>
      <c r="P780" s="13"/>
      <c r="Q780" s="13"/>
      <c r="R780" s="13"/>
      <c r="S780" s="13"/>
    </row>
    <row r="781" spans="1:21" s="119" customFormat="1" x14ac:dyDescent="0.2">
      <c r="A781" s="99" t="s">
        <v>16</v>
      </c>
      <c r="B781" s="99" t="str">
        <f>B783&amp;"_gr"</f>
        <v>hw5_note_gr</v>
      </c>
      <c r="C781" s="99"/>
      <c r="D781" s="100"/>
      <c r="E781" s="99"/>
      <c r="F781" s="100"/>
      <c r="G781" s="99"/>
      <c r="H781" s="100"/>
      <c r="I781" s="99"/>
      <c r="J781" s="100"/>
      <c r="K781" s="99"/>
      <c r="L781" s="99"/>
      <c r="M781" s="99"/>
      <c r="N781" s="99"/>
      <c r="O781" s="74"/>
      <c r="P781" s="74"/>
      <c r="Q781" s="74"/>
      <c r="R781" s="74"/>
      <c r="S781" s="74"/>
      <c r="T781" s="74"/>
      <c r="U781" s="74"/>
    </row>
    <row r="782" spans="1:21" s="120" customFormat="1" x14ac:dyDescent="0.2">
      <c r="A782" s="101" t="s">
        <v>16</v>
      </c>
      <c r="B782" s="101" t="str">
        <f>B784&amp;"_gr"</f>
        <v>hw5_gr</v>
      </c>
      <c r="C782" s="101"/>
      <c r="D782" s="102"/>
      <c r="E782" s="101"/>
      <c r="F782" s="102"/>
      <c r="G782" s="101"/>
      <c r="H782" s="102"/>
      <c r="I782" s="101"/>
      <c r="J782" s="102"/>
      <c r="K782" s="101"/>
      <c r="L782" s="101"/>
      <c r="M782" s="101"/>
      <c r="N782" s="101"/>
      <c r="O782" s="73"/>
      <c r="P782" s="73" t="s">
        <v>47</v>
      </c>
      <c r="Q782" s="73"/>
      <c r="R782" s="73"/>
      <c r="S782" s="73"/>
      <c r="T782" s="73"/>
      <c r="U782" s="73"/>
    </row>
    <row r="783" spans="1:21" s="120" customFormat="1" x14ac:dyDescent="0.2">
      <c r="A783" s="101" t="s">
        <v>22</v>
      </c>
      <c r="B783" s="101" t="str">
        <f>B784&amp;"_note"</f>
        <v>hw5_note</v>
      </c>
      <c r="C783" s="7" t="s">
        <v>4847</v>
      </c>
      <c r="D783" s="24"/>
      <c r="E783" s="7" t="s">
        <v>4848</v>
      </c>
      <c r="F783" s="102"/>
      <c r="G783" s="101" t="s">
        <v>4849</v>
      </c>
      <c r="H783" s="102"/>
      <c r="I783" s="101"/>
      <c r="J783" s="102"/>
      <c r="K783" s="101"/>
      <c r="L783" s="101"/>
      <c r="M783" s="101"/>
      <c r="N783" s="101"/>
      <c r="O783" s="73"/>
      <c r="P783" s="73"/>
      <c r="Q783" s="73"/>
      <c r="R783" s="73"/>
      <c r="S783" s="73"/>
      <c r="T783" s="73"/>
      <c r="U783" s="73"/>
    </row>
    <row r="784" spans="1:21" x14ac:dyDescent="0.2">
      <c r="A784" s="7" t="s">
        <v>1886</v>
      </c>
      <c r="B784" s="7" t="s">
        <v>4591</v>
      </c>
      <c r="C784" s="7" t="s">
        <v>4592</v>
      </c>
      <c r="D784" s="24"/>
      <c r="E784" s="7" t="s">
        <v>4594</v>
      </c>
      <c r="G784" s="7" t="s">
        <v>4595</v>
      </c>
      <c r="I784" s="63"/>
      <c r="J784" s="7"/>
      <c r="K784" s="7" t="s">
        <v>17</v>
      </c>
      <c r="L784" s="13"/>
      <c r="M784" s="13"/>
      <c r="N784" s="13"/>
      <c r="O784" s="13"/>
      <c r="P784" s="13"/>
      <c r="Q784" s="13"/>
      <c r="R784" s="13"/>
      <c r="S784" s="13"/>
    </row>
    <row r="785" spans="1:21" x14ac:dyDescent="0.2">
      <c r="A785" s="7" t="s">
        <v>4850</v>
      </c>
      <c r="B785" s="7" t="s">
        <v>4851</v>
      </c>
      <c r="C785" s="7" t="s">
        <v>4601</v>
      </c>
      <c r="D785" s="24"/>
      <c r="E785" s="7" t="s">
        <v>4602</v>
      </c>
      <c r="G785" s="7" t="s">
        <v>4603</v>
      </c>
      <c r="I785" s="63"/>
      <c r="J785" s="7"/>
      <c r="K785" s="7" t="s">
        <v>17</v>
      </c>
      <c r="L785" s="13"/>
      <c r="M785" s="13"/>
      <c r="N785" s="13"/>
      <c r="O785" s="7" t="str">
        <f>"${"&amp;B784&amp;"}=1"</f>
        <v>${hw5}=1</v>
      </c>
      <c r="P785" s="13"/>
      <c r="Q785" s="13"/>
      <c r="R785" s="13"/>
      <c r="S785" s="13"/>
    </row>
    <row r="786" spans="1:21" ht="15" x14ac:dyDescent="0.25">
      <c r="A786" s="7" t="s">
        <v>26</v>
      </c>
      <c r="B786" s="7" t="str">
        <f>B785&amp;"x"</f>
        <v>hw6_x</v>
      </c>
      <c r="C786" s="7" t="s">
        <v>913</v>
      </c>
      <c r="D786"/>
      <c r="E786" s="7" t="s">
        <v>952</v>
      </c>
      <c r="F786"/>
      <c r="G786" s="7" t="s">
        <v>1816</v>
      </c>
      <c r="H786"/>
      <c r="I786" s="63"/>
      <c r="J786" s="7"/>
      <c r="K786" s="7" t="s">
        <v>17</v>
      </c>
      <c r="O786" s="8" t="str">
        <f>"selected(${"&amp;B785&amp;"},'6')"</f>
        <v>selected(${hw6_},'6')</v>
      </c>
    </row>
    <row r="787" spans="1:21" s="120" customFormat="1" x14ac:dyDescent="0.2">
      <c r="A787" s="101" t="s">
        <v>48</v>
      </c>
      <c r="B787" s="101"/>
      <c r="C787" s="101"/>
      <c r="D787" s="102"/>
      <c r="E787" s="101"/>
      <c r="F787" s="102"/>
      <c r="G787" s="101"/>
      <c r="H787" s="102"/>
      <c r="I787" s="101" t="s">
        <v>4846</v>
      </c>
      <c r="J787" s="102"/>
      <c r="K787" s="101"/>
      <c r="L787" s="101"/>
      <c r="M787" s="101"/>
      <c r="N787" s="101"/>
      <c r="O787" s="73"/>
      <c r="P787" s="73"/>
      <c r="Q787" s="73"/>
      <c r="R787" s="73"/>
      <c r="S787" s="73"/>
      <c r="T787" s="73"/>
      <c r="U787" s="73"/>
    </row>
    <row r="788" spans="1:21" s="120" customFormat="1" x14ac:dyDescent="0.2">
      <c r="A788" s="101"/>
      <c r="B788" s="101"/>
      <c r="C788" s="101"/>
      <c r="D788" s="102"/>
      <c r="E788" s="101"/>
      <c r="F788" s="102"/>
      <c r="G788" s="101"/>
      <c r="H788" s="102"/>
      <c r="I788" s="101"/>
      <c r="J788" s="102"/>
      <c r="K788" s="101"/>
      <c r="L788" s="101"/>
      <c r="M788" s="101"/>
      <c r="N788" s="101"/>
      <c r="O788" s="73"/>
      <c r="P788" s="73"/>
      <c r="Q788" s="73"/>
      <c r="R788" s="73"/>
      <c r="S788" s="73"/>
      <c r="T788" s="73"/>
      <c r="U788" s="73"/>
    </row>
    <row r="789" spans="1:21" s="120" customFormat="1" x14ac:dyDescent="0.2">
      <c r="A789" s="101" t="s">
        <v>16</v>
      </c>
      <c r="B789" s="101" t="str">
        <f>B790&amp;"_gr"</f>
        <v>hw7_gr</v>
      </c>
      <c r="C789" s="101"/>
      <c r="D789" s="102"/>
      <c r="E789" s="101"/>
      <c r="F789" s="102"/>
      <c r="G789" s="101"/>
      <c r="H789" s="102"/>
      <c r="I789" s="101"/>
      <c r="J789" s="102"/>
      <c r="K789" s="101"/>
      <c r="L789" s="101"/>
      <c r="M789" s="101"/>
      <c r="N789" s="101"/>
      <c r="O789" s="73"/>
      <c r="P789" s="73" t="s">
        <v>47</v>
      </c>
      <c r="Q789" s="73"/>
      <c r="R789" s="73"/>
      <c r="S789" s="73"/>
      <c r="T789" s="73"/>
      <c r="U789" s="73"/>
    </row>
    <row r="790" spans="1:21" x14ac:dyDescent="0.2">
      <c r="A790" s="7" t="s">
        <v>1886</v>
      </c>
      <c r="B790" s="7" t="s">
        <v>4614</v>
      </c>
      <c r="C790" s="7" t="s">
        <v>4615</v>
      </c>
      <c r="D790" s="24"/>
      <c r="E790" s="7" t="s">
        <v>4616</v>
      </c>
      <c r="G790" s="7" t="s">
        <v>4617</v>
      </c>
      <c r="I790" s="63"/>
      <c r="J790" s="7"/>
      <c r="K790" s="7" t="s">
        <v>17</v>
      </c>
      <c r="L790" s="13"/>
      <c r="M790" s="13"/>
      <c r="N790" s="13"/>
      <c r="O790" s="13"/>
      <c r="P790" s="13"/>
      <c r="Q790" s="13"/>
      <c r="R790" s="13"/>
      <c r="S790" s="13"/>
    </row>
    <row r="791" spans="1:21" x14ac:dyDescent="0.2">
      <c r="A791" s="7" t="s">
        <v>4852</v>
      </c>
      <c r="B791" s="7" t="s">
        <v>4853</v>
      </c>
      <c r="C791" s="7" t="s">
        <v>4618</v>
      </c>
      <c r="D791" s="24"/>
      <c r="E791" s="7" t="s">
        <v>4602</v>
      </c>
      <c r="G791" s="7" t="s">
        <v>4619</v>
      </c>
      <c r="I791" s="63"/>
      <c r="J791" s="7"/>
      <c r="K791" s="7" t="s">
        <v>17</v>
      </c>
      <c r="L791" s="13"/>
      <c r="M791" s="13"/>
      <c r="N791" s="13"/>
      <c r="O791" s="7" t="str">
        <f>"${"&amp;B790&amp;"}=1"</f>
        <v>${hw7}=1</v>
      </c>
      <c r="P791" s="13"/>
      <c r="Q791" s="13"/>
      <c r="R791" s="13"/>
      <c r="S791" s="13"/>
    </row>
    <row r="792" spans="1:21" ht="15" x14ac:dyDescent="0.25">
      <c r="A792" s="7" t="s">
        <v>26</v>
      </c>
      <c r="B792" s="7" t="str">
        <f>B791&amp;"x"</f>
        <v>hw8_x</v>
      </c>
      <c r="C792" s="7" t="s">
        <v>913</v>
      </c>
      <c r="D792"/>
      <c r="E792" s="7" t="s">
        <v>952</v>
      </c>
      <c r="F792"/>
      <c r="G792" s="7" t="s">
        <v>1816</v>
      </c>
      <c r="H792"/>
      <c r="I792" s="63"/>
      <c r="J792" s="7"/>
      <c r="K792" s="7" t="s">
        <v>17</v>
      </c>
      <c r="O792" s="8" t="str">
        <f>"selected(${"&amp;B791&amp;"},'13')"</f>
        <v>selected(${hw8_},'13')</v>
      </c>
    </row>
    <row r="793" spans="1:21" s="120" customFormat="1" x14ac:dyDescent="0.2">
      <c r="A793" s="101" t="s">
        <v>48</v>
      </c>
      <c r="B793" s="101"/>
      <c r="C793" s="101"/>
      <c r="D793" s="102"/>
      <c r="E793" s="101"/>
      <c r="F793" s="102"/>
      <c r="G793" s="101"/>
      <c r="H793" s="102"/>
      <c r="I793" s="101" t="s">
        <v>4846</v>
      </c>
      <c r="J793" s="102"/>
      <c r="K793" s="101"/>
      <c r="L793" s="101"/>
      <c r="M793" s="101"/>
      <c r="N793" s="101"/>
      <c r="O793" s="73"/>
      <c r="P793" s="73"/>
      <c r="Q793" s="73"/>
      <c r="R793" s="73"/>
      <c r="S793" s="73"/>
      <c r="T793" s="73"/>
      <c r="U793" s="73"/>
    </row>
    <row r="794" spans="1:21" s="120" customFormat="1" x14ac:dyDescent="0.2">
      <c r="A794" s="101"/>
      <c r="B794" s="101"/>
      <c r="C794" s="101"/>
      <c r="D794" s="102"/>
      <c r="E794" s="101"/>
      <c r="F794" s="102"/>
      <c r="G794" s="101"/>
      <c r="H794" s="102"/>
      <c r="I794" s="101"/>
      <c r="J794" s="102"/>
      <c r="K794" s="101"/>
      <c r="L794" s="101"/>
      <c r="M794" s="101"/>
      <c r="N794" s="101"/>
      <c r="O794" s="73"/>
      <c r="P794" s="73"/>
      <c r="Q794" s="73"/>
      <c r="R794" s="73"/>
      <c r="S794" s="73"/>
      <c r="T794" s="73"/>
      <c r="U794" s="73"/>
    </row>
    <row r="795" spans="1:21" s="120" customFormat="1" x14ac:dyDescent="0.2">
      <c r="A795" s="101" t="s">
        <v>16</v>
      </c>
      <c r="B795" s="101" t="str">
        <f>B796&amp;"_gr"</f>
        <v>hw9_gr</v>
      </c>
      <c r="C795" s="101"/>
      <c r="D795" s="102"/>
      <c r="E795" s="101"/>
      <c r="F795" s="102"/>
      <c r="G795" s="101"/>
      <c r="H795" s="102"/>
      <c r="I795" s="101"/>
      <c r="J795" s="102"/>
      <c r="K795" s="101"/>
      <c r="L795" s="101"/>
      <c r="M795" s="101"/>
      <c r="N795" s="101"/>
      <c r="O795" s="73"/>
      <c r="P795" s="73" t="s">
        <v>47</v>
      </c>
      <c r="Q795" s="73"/>
      <c r="R795" s="73"/>
      <c r="S795" s="73"/>
      <c r="T795" s="73"/>
      <c r="U795" s="73"/>
    </row>
    <row r="796" spans="1:21" x14ac:dyDescent="0.2">
      <c r="A796" s="7" t="s">
        <v>1886</v>
      </c>
      <c r="B796" s="7" t="s">
        <v>4655</v>
      </c>
      <c r="C796" s="7" t="s">
        <v>4656</v>
      </c>
      <c r="D796" s="24"/>
      <c r="E796" s="7" t="s">
        <v>4657</v>
      </c>
      <c r="G796" s="7" t="s">
        <v>4658</v>
      </c>
      <c r="I796" s="63"/>
      <c r="J796" s="7"/>
      <c r="K796" s="7" t="s">
        <v>17</v>
      </c>
      <c r="L796" s="13"/>
      <c r="M796" s="13"/>
      <c r="N796" s="13"/>
      <c r="O796" s="7"/>
      <c r="P796" s="13"/>
      <c r="Q796" s="13"/>
      <c r="R796" s="13"/>
      <c r="S796" s="13"/>
    </row>
    <row r="797" spans="1:21" x14ac:dyDescent="0.2">
      <c r="A797" s="7" t="s">
        <v>4852</v>
      </c>
      <c r="B797" s="7" t="s">
        <v>4854</v>
      </c>
      <c r="C797" s="7" t="s">
        <v>4618</v>
      </c>
      <c r="D797" s="24"/>
      <c r="E797" s="7" t="s">
        <v>4602</v>
      </c>
      <c r="G797" s="7" t="s">
        <v>4659</v>
      </c>
      <c r="I797" s="63"/>
      <c r="J797" s="7"/>
      <c r="K797" s="7" t="s">
        <v>17</v>
      </c>
      <c r="L797" s="13"/>
      <c r="M797" s="13"/>
      <c r="N797" s="13"/>
      <c r="O797" s="7" t="str">
        <f>"${"&amp;B796&amp;"}=1"</f>
        <v>${hw9}=1</v>
      </c>
      <c r="P797" s="13"/>
      <c r="Q797" s="13"/>
      <c r="R797" s="13"/>
      <c r="S797" s="13"/>
    </row>
    <row r="798" spans="1:21" ht="15" x14ac:dyDescent="0.25">
      <c r="A798" s="7" t="s">
        <v>26</v>
      </c>
      <c r="B798" s="7" t="str">
        <f>B797&amp;"x"</f>
        <v>hw10_x</v>
      </c>
      <c r="C798" s="7" t="s">
        <v>913</v>
      </c>
      <c r="D798"/>
      <c r="E798" s="7" t="s">
        <v>952</v>
      </c>
      <c r="F798"/>
      <c r="G798" s="7" t="s">
        <v>1816</v>
      </c>
      <c r="H798"/>
      <c r="I798" s="63"/>
      <c r="J798" s="7"/>
      <c r="K798" s="7" t="s">
        <v>17</v>
      </c>
      <c r="O798" s="8" t="str">
        <f>"selected(${"&amp;B797&amp;"},'13')"</f>
        <v>selected(${hw10_},'13')</v>
      </c>
    </row>
    <row r="799" spans="1:21" s="120" customFormat="1" x14ac:dyDescent="0.2">
      <c r="A799" s="101" t="s">
        <v>48</v>
      </c>
      <c r="B799" s="101"/>
      <c r="C799" s="101"/>
      <c r="D799" s="102"/>
      <c r="E799" s="101"/>
      <c r="F799" s="102"/>
      <c r="G799" s="101"/>
      <c r="H799" s="102"/>
      <c r="I799" s="101" t="s">
        <v>4846</v>
      </c>
      <c r="J799" s="102"/>
      <c r="K799" s="101"/>
      <c r="L799" s="101"/>
      <c r="M799" s="101"/>
      <c r="N799" s="101"/>
      <c r="O799" s="73"/>
      <c r="P799" s="73"/>
      <c r="Q799" s="73"/>
      <c r="R799" s="73"/>
      <c r="S799" s="73"/>
      <c r="T799" s="73"/>
      <c r="U799" s="73"/>
    </row>
    <row r="800" spans="1:21" x14ac:dyDescent="0.2">
      <c r="A800" s="7"/>
      <c r="B800" s="7"/>
      <c r="C800" s="7"/>
      <c r="D800" s="24"/>
      <c r="I800" s="63"/>
      <c r="J800" s="7"/>
      <c r="K800" s="7"/>
      <c r="L800" s="13"/>
      <c r="M800" s="13"/>
      <c r="N800" s="13"/>
      <c r="O800" s="13"/>
      <c r="P800" s="13"/>
      <c r="Q800" s="13"/>
      <c r="R800" s="13"/>
      <c r="S800" s="13"/>
    </row>
    <row r="801" spans="1:21" x14ac:dyDescent="0.2">
      <c r="A801" s="7" t="s">
        <v>4845</v>
      </c>
      <c r="B801" s="7" t="s">
        <v>4660</v>
      </c>
      <c r="C801" s="7" t="s">
        <v>4661</v>
      </c>
      <c r="D801" s="24"/>
      <c r="E801" s="7" t="s">
        <v>4662</v>
      </c>
      <c r="G801" s="7" t="s">
        <v>4663</v>
      </c>
      <c r="I801" s="63"/>
      <c r="J801" s="7"/>
      <c r="K801" s="7" t="s">
        <v>17</v>
      </c>
      <c r="L801" s="13"/>
      <c r="M801" s="13"/>
      <c r="N801" s="13"/>
      <c r="O801" s="13"/>
      <c r="P801" s="13"/>
      <c r="Q801" s="13"/>
      <c r="R801" s="13"/>
      <c r="S801" s="13"/>
    </row>
    <row r="802" spans="1:21" ht="15" x14ac:dyDescent="0.25">
      <c r="A802" s="7" t="s">
        <v>26</v>
      </c>
      <c r="B802" s="7" t="str">
        <f>B801&amp;"x"</f>
        <v>hw11x</v>
      </c>
      <c r="C802" s="7" t="s">
        <v>913</v>
      </c>
      <c r="D802"/>
      <c r="E802" s="7" t="s">
        <v>952</v>
      </c>
      <c r="F802"/>
      <c r="G802" s="7" t="s">
        <v>1816</v>
      </c>
      <c r="H802"/>
      <c r="I802" s="63"/>
      <c r="J802" s="7"/>
      <c r="K802" s="7" t="s">
        <v>17</v>
      </c>
      <c r="O802" s="7" t="str">
        <f>"${"&amp;B801&amp;"}=5"</f>
        <v>${hw11}=5</v>
      </c>
    </row>
    <row r="803" spans="1:21" x14ac:dyDescent="0.2">
      <c r="A803" s="7" t="s">
        <v>4679</v>
      </c>
      <c r="B803" s="7" t="s">
        <v>4859</v>
      </c>
      <c r="C803" s="7" t="s">
        <v>4680</v>
      </c>
      <c r="D803" s="24" t="s">
        <v>4855</v>
      </c>
      <c r="E803" s="7" t="s">
        <v>4681</v>
      </c>
      <c r="F803" s="24" t="s">
        <v>4856</v>
      </c>
      <c r="G803" s="7" t="s">
        <v>4682</v>
      </c>
      <c r="H803" s="24" t="s">
        <v>4857</v>
      </c>
      <c r="I803" s="63"/>
      <c r="J803" s="7"/>
      <c r="K803" s="7" t="s">
        <v>17</v>
      </c>
      <c r="L803" s="13"/>
      <c r="M803" s="13"/>
      <c r="N803" s="13"/>
      <c r="O803" s="13"/>
      <c r="P803" s="13"/>
      <c r="Q803" s="13"/>
      <c r="R803" s="13"/>
      <c r="S803" s="13"/>
    </row>
    <row r="804" spans="1:21" ht="15" x14ac:dyDescent="0.25">
      <c r="A804" s="7" t="s">
        <v>26</v>
      </c>
      <c r="B804" s="7" t="str">
        <f>B803&amp;"x"</f>
        <v>hw12_x</v>
      </c>
      <c r="C804" s="7" t="s">
        <v>913</v>
      </c>
      <c r="D804"/>
      <c r="E804" s="7" t="s">
        <v>952</v>
      </c>
      <c r="F804"/>
      <c r="G804" s="7" t="s">
        <v>1816</v>
      </c>
      <c r="H804"/>
      <c r="I804" s="63"/>
      <c r="J804" s="7"/>
      <c r="K804" s="7" t="s">
        <v>17</v>
      </c>
      <c r="O804" s="8" t="str">
        <f>"selected(${"&amp;B803&amp;"},'13')"</f>
        <v>selected(${hw12_},'13')</v>
      </c>
    </row>
    <row r="805" spans="1:21" s="119" customFormat="1" x14ac:dyDescent="0.2">
      <c r="A805" s="99" t="s">
        <v>48</v>
      </c>
      <c r="B805" s="99"/>
      <c r="C805" s="99"/>
      <c r="D805" s="100"/>
      <c r="E805" s="99"/>
      <c r="F805" s="100"/>
      <c r="G805" s="99"/>
      <c r="H805" s="100"/>
      <c r="I805" s="99" t="s">
        <v>4846</v>
      </c>
      <c r="J805" s="100"/>
      <c r="K805" s="99"/>
      <c r="L805" s="99"/>
      <c r="M805" s="99"/>
      <c r="N805" s="99"/>
      <c r="O805" s="74"/>
      <c r="P805" s="74"/>
      <c r="Q805" s="74"/>
      <c r="R805" s="74"/>
      <c r="S805" s="74"/>
      <c r="T805" s="74"/>
      <c r="U805" s="74"/>
    </row>
    <row r="806" spans="1:21" s="120" customFormat="1" x14ac:dyDescent="0.2">
      <c r="A806" s="101"/>
      <c r="B806" s="101"/>
      <c r="C806" s="101"/>
      <c r="D806" s="102"/>
      <c r="E806" s="101"/>
      <c r="F806" s="102"/>
      <c r="G806" s="101"/>
      <c r="H806" s="102"/>
      <c r="I806" s="101"/>
      <c r="J806" s="102"/>
      <c r="K806" s="101"/>
      <c r="L806" s="101"/>
      <c r="M806" s="101"/>
      <c r="N806" s="101"/>
      <c r="O806" s="73"/>
      <c r="P806" s="73"/>
      <c r="Q806" s="73"/>
      <c r="R806" s="73"/>
      <c r="S806" s="73"/>
      <c r="T806" s="73"/>
      <c r="U806" s="73"/>
    </row>
    <row r="807" spans="1:21" s="119" customFormat="1" x14ac:dyDescent="0.2">
      <c r="A807" s="99" t="s">
        <v>16</v>
      </c>
      <c r="B807" s="99" t="str">
        <f>B808&amp;"_gr"</f>
        <v>hw13_note_gr</v>
      </c>
      <c r="C807" s="99"/>
      <c r="D807" s="100"/>
      <c r="E807" s="99"/>
      <c r="F807" s="100"/>
      <c r="G807" s="99"/>
      <c r="H807" s="100"/>
      <c r="I807" s="99"/>
      <c r="J807" s="100"/>
      <c r="K807" s="99"/>
      <c r="L807" s="99"/>
      <c r="M807" s="99"/>
      <c r="N807" s="99"/>
      <c r="O807" s="74"/>
      <c r="P807" s="74"/>
      <c r="Q807" s="74"/>
      <c r="R807" s="74"/>
      <c r="S807" s="74"/>
      <c r="T807" s="74"/>
      <c r="U807" s="74"/>
    </row>
    <row r="808" spans="1:21" x14ac:dyDescent="0.2">
      <c r="A808" s="7" t="s">
        <v>22</v>
      </c>
      <c r="B808" s="7" t="s">
        <v>4858</v>
      </c>
      <c r="C808" s="7" t="s">
        <v>4778</v>
      </c>
      <c r="D808" s="24"/>
      <c r="E808" s="7" t="s">
        <v>4779</v>
      </c>
      <c r="G808" s="7" t="s">
        <v>4780</v>
      </c>
      <c r="I808" s="63"/>
      <c r="J808" s="7"/>
      <c r="K808" s="7"/>
      <c r="L808" s="13"/>
      <c r="M808" s="13"/>
      <c r="N808" s="13"/>
      <c r="O808" s="13"/>
      <c r="P808" s="13"/>
      <c r="Q808" s="13"/>
      <c r="R808" s="13"/>
      <c r="S808" s="13"/>
    </row>
    <row r="809" spans="1:21" x14ac:dyDescent="0.2">
      <c r="A809" s="7" t="s">
        <v>4704</v>
      </c>
      <c r="B809" s="7" t="s">
        <v>4706</v>
      </c>
      <c r="C809" s="7" t="s">
        <v>4705</v>
      </c>
      <c r="D809" s="24"/>
      <c r="E809" s="7" t="s">
        <v>4707</v>
      </c>
      <c r="G809" s="7" t="s">
        <v>4708</v>
      </c>
      <c r="I809" s="63"/>
      <c r="J809" s="7"/>
      <c r="K809" s="7" t="s">
        <v>17</v>
      </c>
      <c r="L809" s="13"/>
      <c r="M809" s="13"/>
      <c r="N809" s="13"/>
      <c r="O809" s="13"/>
      <c r="P809" s="13"/>
      <c r="Q809" s="13"/>
      <c r="R809" s="13"/>
      <c r="S809" s="13"/>
    </row>
    <row r="810" spans="1:21" ht="15" x14ac:dyDescent="0.25">
      <c r="A810" s="7" t="s">
        <v>26</v>
      </c>
      <c r="B810" s="7" t="str">
        <f>B809&amp;"x"</f>
        <v>hw13x</v>
      </c>
      <c r="C810" s="7" t="s">
        <v>913</v>
      </c>
      <c r="D810"/>
      <c r="E810" s="7" t="s">
        <v>952</v>
      </c>
      <c r="F810"/>
      <c r="G810" s="7" t="s">
        <v>1816</v>
      </c>
      <c r="H810"/>
      <c r="I810" s="63"/>
      <c r="J810" s="7"/>
      <c r="K810" s="7" t="s">
        <v>17</v>
      </c>
      <c r="O810" s="7" t="str">
        <f>"${"&amp;B809&amp;"}=4"</f>
        <v>${hw13}=4</v>
      </c>
    </row>
    <row r="811" spans="1:21" x14ac:dyDescent="0.2">
      <c r="A811" s="7" t="s">
        <v>1886</v>
      </c>
      <c r="B811" s="7" t="s">
        <v>4717</v>
      </c>
      <c r="C811" s="7" t="s">
        <v>4718</v>
      </c>
      <c r="D811" s="24"/>
      <c r="E811" s="7" t="s">
        <v>4719</v>
      </c>
      <c r="G811" s="7" t="s">
        <v>4720</v>
      </c>
      <c r="I811" s="63"/>
      <c r="J811" s="7"/>
      <c r="K811" s="7" t="s">
        <v>17</v>
      </c>
      <c r="L811" s="13"/>
      <c r="M811" s="13"/>
      <c r="N811" s="13"/>
      <c r="O811" s="13"/>
      <c r="P811" s="13"/>
      <c r="Q811" s="13"/>
      <c r="R811" s="13"/>
      <c r="S811" s="13"/>
    </row>
    <row r="812" spans="1:21" x14ac:dyDescent="0.2">
      <c r="A812" s="7" t="s">
        <v>1886</v>
      </c>
      <c r="B812" s="7" t="s">
        <v>4721</v>
      </c>
      <c r="C812" s="7" t="s">
        <v>4722</v>
      </c>
      <c r="D812" s="24"/>
      <c r="E812" s="7" t="s">
        <v>4723</v>
      </c>
      <c r="G812" s="7" t="s">
        <v>4724</v>
      </c>
      <c r="I812" s="63"/>
      <c r="J812" s="7"/>
      <c r="K812" s="7" t="s">
        <v>17</v>
      </c>
      <c r="L812" s="13"/>
      <c r="M812" s="13"/>
      <c r="N812" s="13"/>
      <c r="O812" s="13"/>
      <c r="P812" s="13"/>
      <c r="Q812" s="13"/>
      <c r="R812" s="13"/>
      <c r="S812" s="13"/>
    </row>
    <row r="813" spans="1:21" x14ac:dyDescent="0.2">
      <c r="A813" s="7" t="s">
        <v>1886</v>
      </c>
      <c r="B813" s="7" t="s">
        <v>4725</v>
      </c>
      <c r="C813" s="7" t="s">
        <v>4726</v>
      </c>
      <c r="D813" s="24"/>
      <c r="E813" s="7" t="s">
        <v>4727</v>
      </c>
      <c r="G813" s="7" t="s">
        <v>4728</v>
      </c>
      <c r="I813" s="63"/>
      <c r="J813" s="7"/>
      <c r="K813" s="7" t="s">
        <v>17</v>
      </c>
      <c r="L813" s="13"/>
      <c r="M813" s="13"/>
      <c r="N813" s="13"/>
      <c r="O813" s="13"/>
      <c r="P813" s="13"/>
      <c r="Q813" s="13"/>
      <c r="R813" s="13"/>
      <c r="S813" s="13"/>
    </row>
    <row r="814" spans="1:21" x14ac:dyDescent="0.2">
      <c r="A814" s="7" t="s">
        <v>4862</v>
      </c>
      <c r="B814" s="7" t="s">
        <v>4860</v>
      </c>
      <c r="C814" s="7" t="s">
        <v>4601</v>
      </c>
      <c r="D814" s="24"/>
      <c r="E814" s="7" t="s">
        <v>4729</v>
      </c>
      <c r="G814" s="7" t="s">
        <v>4730</v>
      </c>
      <c r="I814" s="63"/>
      <c r="J814" s="7"/>
      <c r="K814" s="7" t="s">
        <v>17</v>
      </c>
      <c r="L814" s="13"/>
      <c r="M814" s="13"/>
      <c r="N814" s="13"/>
      <c r="O814" s="7" t="str">
        <f>"${"&amp;B813&amp;"}=1"</f>
        <v>${hw16}=1</v>
      </c>
      <c r="P814" s="13"/>
      <c r="Q814" s="13"/>
      <c r="R814" s="13"/>
      <c r="S814" s="13"/>
    </row>
    <row r="815" spans="1:21" ht="15" x14ac:dyDescent="0.25">
      <c r="A815" s="7" t="s">
        <v>26</v>
      </c>
      <c r="B815" s="7" t="str">
        <f>B814&amp;"x"</f>
        <v>hw17_x</v>
      </c>
      <c r="C815" s="7" t="s">
        <v>913</v>
      </c>
      <c r="D815"/>
      <c r="E815" s="7" t="s">
        <v>952</v>
      </c>
      <c r="F815"/>
      <c r="G815" s="7" t="s">
        <v>1816</v>
      </c>
      <c r="H815"/>
      <c r="I815" s="63"/>
      <c r="J815" s="7"/>
      <c r="K815" s="7" t="s">
        <v>17</v>
      </c>
      <c r="O815" s="8" t="str">
        <f>"selected(${"&amp;B814&amp;"},'10')"</f>
        <v>selected(${hw17_},'10')</v>
      </c>
    </row>
    <row r="816" spans="1:21" x14ac:dyDescent="0.2">
      <c r="A816" s="7" t="s">
        <v>4760</v>
      </c>
      <c r="B816" s="7" t="s">
        <v>4861</v>
      </c>
      <c r="C816" s="7" t="s">
        <v>4759</v>
      </c>
      <c r="D816" s="24" t="s">
        <v>4863</v>
      </c>
      <c r="E816" s="7" t="s">
        <v>4761</v>
      </c>
      <c r="F816" s="24" t="s">
        <v>4856</v>
      </c>
      <c r="G816" s="7" t="s">
        <v>4762</v>
      </c>
      <c r="H816" s="24" t="s">
        <v>4864</v>
      </c>
      <c r="I816" s="63"/>
      <c r="J816" s="7"/>
      <c r="K816" s="7" t="s">
        <v>17</v>
      </c>
      <c r="L816" s="13"/>
      <c r="M816" s="13"/>
      <c r="N816" s="13"/>
      <c r="O816" s="13"/>
      <c r="P816" s="13"/>
      <c r="Q816" s="13"/>
      <c r="R816" s="13"/>
      <c r="S816" s="13"/>
    </row>
    <row r="817" spans="1:21" ht="15" x14ac:dyDescent="0.25">
      <c r="A817" s="7" t="s">
        <v>26</v>
      </c>
      <c r="B817" s="7" t="str">
        <f>B816&amp;"x"</f>
        <v>hw18_x</v>
      </c>
      <c r="C817" s="7" t="s">
        <v>913</v>
      </c>
      <c r="D817"/>
      <c r="E817" s="7" t="s">
        <v>952</v>
      </c>
      <c r="F817"/>
      <c r="G817" s="7" t="s">
        <v>1816</v>
      </c>
      <c r="H817"/>
      <c r="I817" s="63"/>
      <c r="J817" s="7"/>
      <c r="K817" s="7" t="s">
        <v>17</v>
      </c>
      <c r="O817" s="8" t="str">
        <f>"selected(${"&amp;B816&amp;"},'4')"</f>
        <v>selected(${hw18_},'4')</v>
      </c>
    </row>
    <row r="818" spans="1:21" x14ac:dyDescent="0.2">
      <c r="A818" s="7" t="s">
        <v>1886</v>
      </c>
      <c r="B818" s="7" t="s">
        <v>4774</v>
      </c>
      <c r="C818" s="7" t="s">
        <v>4775</v>
      </c>
      <c r="D818" s="24"/>
      <c r="E818" s="7" t="s">
        <v>4776</v>
      </c>
      <c r="G818" s="7" t="s">
        <v>4777</v>
      </c>
      <c r="I818" s="63"/>
      <c r="J818" s="7"/>
      <c r="K818" s="7" t="s">
        <v>17</v>
      </c>
      <c r="L818" s="13"/>
      <c r="M818" s="13"/>
      <c r="N818" s="13"/>
      <c r="O818" s="13"/>
      <c r="P818" s="13"/>
      <c r="Q818" s="13"/>
      <c r="R818" s="13"/>
      <c r="S818" s="13"/>
    </row>
    <row r="819" spans="1:21" s="119" customFormat="1" x14ac:dyDescent="0.2">
      <c r="A819" s="99" t="s">
        <v>48</v>
      </c>
      <c r="B819" s="99"/>
      <c r="C819" s="99"/>
      <c r="D819" s="100"/>
      <c r="E819" s="99"/>
      <c r="F819" s="100"/>
      <c r="G819" s="99"/>
      <c r="H819" s="100"/>
      <c r="I819" s="99" t="s">
        <v>4846</v>
      </c>
      <c r="J819" s="100"/>
      <c r="K819" s="99"/>
      <c r="L819" s="99"/>
      <c r="M819" s="99"/>
      <c r="N819" s="99"/>
      <c r="O819" s="74"/>
      <c r="P819" s="74"/>
      <c r="Q819" s="74"/>
      <c r="R819" s="74"/>
      <c r="S819" s="74"/>
      <c r="T819" s="74"/>
      <c r="U819" s="74"/>
    </row>
    <row r="820" spans="1:21" x14ac:dyDescent="0.2">
      <c r="A820" s="7"/>
      <c r="B820" s="7"/>
      <c r="C820" s="7"/>
      <c r="D820" s="24"/>
      <c r="I820" s="63"/>
      <c r="J820" s="7"/>
      <c r="K820" s="7"/>
      <c r="L820" s="13"/>
      <c r="M820" s="13"/>
      <c r="N820" s="13"/>
      <c r="O820" s="13"/>
      <c r="P820" s="13"/>
      <c r="Q820" s="13"/>
      <c r="R820" s="13"/>
      <c r="S820" s="13"/>
    </row>
    <row r="821" spans="1:21" s="119" customFormat="1" x14ac:dyDescent="0.2">
      <c r="A821" s="99" t="s">
        <v>16</v>
      </c>
      <c r="B821" s="99" t="str">
        <f>B823&amp;"_gr"</f>
        <v>hw20note_gr</v>
      </c>
      <c r="C821" s="99"/>
      <c r="D821" s="100"/>
      <c r="E821" s="99"/>
      <c r="F821" s="100"/>
      <c r="G821" s="99"/>
      <c r="H821" s="100"/>
      <c r="I821" s="99"/>
      <c r="J821" s="100"/>
      <c r="K821" s="99"/>
      <c r="L821" s="99"/>
      <c r="M821" s="99"/>
      <c r="N821" s="99"/>
      <c r="O821" s="74"/>
      <c r="P821" s="74"/>
      <c r="Q821" s="74"/>
      <c r="R821" s="74"/>
      <c r="S821" s="74"/>
      <c r="T821" s="74"/>
      <c r="U821" s="74"/>
    </row>
    <row r="822" spans="1:21" s="120" customFormat="1" x14ac:dyDescent="0.2">
      <c r="A822" s="101" t="s">
        <v>16</v>
      </c>
      <c r="B822" s="101" t="str">
        <f>B823&amp;"gr"</f>
        <v>hw20notegr</v>
      </c>
      <c r="C822" s="101"/>
      <c r="D822" s="102"/>
      <c r="E822" s="101"/>
      <c r="F822" s="102"/>
      <c r="G822" s="101"/>
      <c r="H822" s="102"/>
      <c r="I822" s="101"/>
      <c r="J822" s="102"/>
      <c r="K822" s="101"/>
      <c r="L822" s="101"/>
      <c r="M822" s="101"/>
      <c r="N822" s="101"/>
      <c r="O822" s="73"/>
      <c r="P822" s="73" t="s">
        <v>47</v>
      </c>
      <c r="Q822" s="73"/>
      <c r="R822" s="73"/>
      <c r="S822" s="73"/>
      <c r="T822" s="73"/>
      <c r="U822" s="73"/>
    </row>
    <row r="823" spans="1:21" x14ac:dyDescent="0.2">
      <c r="A823" s="7" t="s">
        <v>22</v>
      </c>
      <c r="B823" s="7" t="str">
        <f>B824&amp;"note"</f>
        <v>hw20note</v>
      </c>
      <c r="C823" s="7" t="s">
        <v>4781</v>
      </c>
      <c r="D823" s="24"/>
      <c r="E823" s="7" t="s">
        <v>4782</v>
      </c>
      <c r="G823" s="7" t="s">
        <v>4783</v>
      </c>
      <c r="I823" s="63"/>
      <c r="J823" s="7"/>
      <c r="K823" s="7"/>
      <c r="L823" s="13"/>
      <c r="M823" s="13"/>
      <c r="N823" s="13"/>
      <c r="O823" s="13"/>
      <c r="P823" s="13"/>
      <c r="Q823" s="13"/>
      <c r="R823" s="13"/>
      <c r="S823" s="13"/>
    </row>
    <row r="824" spans="1:21" x14ac:dyDescent="0.2">
      <c r="A824" s="7" t="s">
        <v>1886</v>
      </c>
      <c r="B824" s="7" t="s">
        <v>4784</v>
      </c>
      <c r="C824" s="7" t="s">
        <v>4785</v>
      </c>
      <c r="D824" s="24"/>
      <c r="E824" s="7" t="s">
        <v>4786</v>
      </c>
      <c r="G824" s="7" t="s">
        <v>4787</v>
      </c>
      <c r="I824" s="63"/>
      <c r="J824" s="7"/>
      <c r="K824" s="7" t="s">
        <v>17</v>
      </c>
      <c r="L824" s="13"/>
      <c r="M824" s="13"/>
      <c r="N824" s="13"/>
      <c r="O824" s="13"/>
      <c r="P824" s="13"/>
      <c r="Q824" s="13"/>
      <c r="R824" s="13"/>
      <c r="S824" s="13"/>
    </row>
    <row r="825" spans="1:21" ht="15" x14ac:dyDescent="0.25">
      <c r="A825" s="7" t="s">
        <v>26</v>
      </c>
      <c r="B825" s="7" t="str">
        <f>B824&amp;"x"</f>
        <v>hw20x</v>
      </c>
      <c r="C825" s="7" t="s">
        <v>4868</v>
      </c>
      <c r="D825"/>
      <c r="E825" s="7" t="s">
        <v>4869</v>
      </c>
      <c r="F825"/>
      <c r="G825" s="7" t="s">
        <v>4870</v>
      </c>
      <c r="H825"/>
      <c r="I825" s="63"/>
      <c r="J825" s="7"/>
      <c r="K825" s="7" t="s">
        <v>17</v>
      </c>
      <c r="O825" s="7" t="str">
        <f>"${"&amp;B824&amp;"}=1"</f>
        <v>${hw20}=1</v>
      </c>
    </row>
    <row r="826" spans="1:21" s="120" customFormat="1" x14ac:dyDescent="0.2">
      <c r="A826" s="101" t="s">
        <v>48</v>
      </c>
      <c r="B826" s="101"/>
      <c r="C826" s="101"/>
      <c r="D826" s="102"/>
      <c r="E826" s="101"/>
      <c r="F826" s="102"/>
      <c r="G826" s="101"/>
      <c r="H826" s="102"/>
      <c r="I826" s="101" t="s">
        <v>4846</v>
      </c>
      <c r="J826" s="102"/>
      <c r="K826" s="101"/>
      <c r="L826" s="101"/>
      <c r="M826" s="101"/>
      <c r="N826" s="101"/>
      <c r="O826" s="73"/>
      <c r="P826" s="73"/>
      <c r="Q826" s="73"/>
      <c r="R826" s="73"/>
      <c r="S826" s="73"/>
      <c r="T826" s="73"/>
      <c r="U826" s="73"/>
    </row>
    <row r="827" spans="1:21" x14ac:dyDescent="0.2">
      <c r="A827" s="7" t="s">
        <v>4788</v>
      </c>
      <c r="B827" s="7" t="s">
        <v>4866</v>
      </c>
      <c r="C827" s="7" t="s">
        <v>4789</v>
      </c>
      <c r="D827" s="24" t="s">
        <v>4863</v>
      </c>
      <c r="E827" s="7" t="s">
        <v>4790</v>
      </c>
      <c r="F827" s="24" t="s">
        <v>4856</v>
      </c>
      <c r="G827" s="7" t="s">
        <v>4791</v>
      </c>
      <c r="H827" s="24" t="s">
        <v>4867</v>
      </c>
      <c r="I827" s="63"/>
      <c r="J827" s="7"/>
      <c r="K827" s="7" t="s">
        <v>17</v>
      </c>
      <c r="L827" s="13"/>
      <c r="M827" s="13"/>
      <c r="N827" s="13"/>
      <c r="O827" s="7" t="s">
        <v>4865</v>
      </c>
      <c r="P827" s="13"/>
      <c r="Q827" s="13"/>
      <c r="R827" s="13"/>
      <c r="S827" s="13"/>
    </row>
    <row r="828" spans="1:21" ht="15" x14ac:dyDescent="0.25">
      <c r="A828" s="7" t="s">
        <v>26</v>
      </c>
      <c r="B828" s="7" t="str">
        <f>B827&amp;"x"</f>
        <v>hw21_x</v>
      </c>
      <c r="C828" s="7" t="s">
        <v>913</v>
      </c>
      <c r="D828"/>
      <c r="E828" s="7" t="s">
        <v>952</v>
      </c>
      <c r="F828"/>
      <c r="G828" s="7" t="s">
        <v>1816</v>
      </c>
      <c r="H828"/>
      <c r="I828" s="63"/>
      <c r="J828" s="7"/>
      <c r="K828" s="7" t="s">
        <v>17</v>
      </c>
      <c r="O828" s="8" t="str">
        <f>"selected(${"&amp;B827&amp;"},'6')"</f>
        <v>selected(${hw21_},'6')</v>
      </c>
    </row>
    <row r="829" spans="1:21" x14ac:dyDescent="0.2">
      <c r="A829" s="7" t="s">
        <v>4808</v>
      </c>
      <c r="B829" s="7" t="s">
        <v>4807</v>
      </c>
      <c r="C829" s="7" t="s">
        <v>4809</v>
      </c>
      <c r="D829" s="24"/>
      <c r="E829" s="7" t="s">
        <v>4810</v>
      </c>
      <c r="G829" s="7" t="s">
        <v>4811</v>
      </c>
      <c r="I829" s="63"/>
      <c r="J829" s="7"/>
      <c r="K829" s="7" t="s">
        <v>17</v>
      </c>
      <c r="L829" s="13"/>
      <c r="M829" s="13"/>
      <c r="N829" s="13"/>
      <c r="O829" s="13"/>
      <c r="P829" s="13"/>
      <c r="Q829" s="13"/>
      <c r="R829" s="13"/>
      <c r="S829" s="13"/>
    </row>
    <row r="830" spans="1:21" x14ac:dyDescent="0.2">
      <c r="A830" s="7" t="s">
        <v>4825</v>
      </c>
      <c r="B830" s="7" t="s">
        <v>4826</v>
      </c>
      <c r="C830" s="7" t="s">
        <v>4827</v>
      </c>
      <c r="D830" s="24" t="s">
        <v>4871</v>
      </c>
      <c r="E830" s="7" t="s">
        <v>4828</v>
      </c>
      <c r="F830" s="24" t="s">
        <v>4872</v>
      </c>
      <c r="G830" s="7" t="s">
        <v>4829</v>
      </c>
      <c r="H830" s="24" t="s">
        <v>4873</v>
      </c>
      <c r="I830" s="63"/>
      <c r="J830" s="7"/>
      <c r="K830" s="7" t="s">
        <v>17</v>
      </c>
      <c r="L830" s="13"/>
      <c r="M830" s="13"/>
      <c r="N830" s="13"/>
      <c r="O830" s="13"/>
      <c r="P830" s="13"/>
      <c r="Q830" s="13"/>
      <c r="R830" s="13"/>
      <c r="S830" s="13"/>
    </row>
    <row r="831" spans="1:21" ht="15" x14ac:dyDescent="0.25">
      <c r="A831" s="7" t="s">
        <v>26</v>
      </c>
      <c r="B831" s="7" t="str">
        <f>B830&amp;"x"</f>
        <v>hw23x</v>
      </c>
      <c r="C831" s="7" t="s">
        <v>4868</v>
      </c>
      <c r="D831"/>
      <c r="E831" s="7" t="s">
        <v>4869</v>
      </c>
      <c r="F831"/>
      <c r="G831" s="7" t="s">
        <v>4870</v>
      </c>
      <c r="H831"/>
      <c r="I831" s="63"/>
      <c r="J831" s="7"/>
      <c r="K831" s="7" t="s">
        <v>17</v>
      </c>
      <c r="O831" s="7" t="str">
        <f>"${"&amp;B830&amp;"}=5"</f>
        <v>${hw23}=5</v>
      </c>
    </row>
    <row r="832" spans="1:21" s="119" customFormat="1" x14ac:dyDescent="0.2">
      <c r="A832" s="99" t="s">
        <v>48</v>
      </c>
      <c r="B832" s="99"/>
      <c r="C832" s="99"/>
      <c r="D832" s="100"/>
      <c r="E832" s="99"/>
      <c r="F832" s="100"/>
      <c r="G832" s="99"/>
      <c r="H832" s="100"/>
      <c r="I832" s="99" t="s">
        <v>4846</v>
      </c>
      <c r="J832" s="100"/>
      <c r="K832" s="99"/>
      <c r="L832" s="99"/>
      <c r="M832" s="99"/>
      <c r="N832" s="99"/>
      <c r="O832" s="74"/>
      <c r="P832" s="74"/>
      <c r="Q832" s="74"/>
      <c r="R832" s="74"/>
      <c r="S832" s="74"/>
      <c r="T832" s="74"/>
      <c r="U832" s="74"/>
    </row>
    <row r="833" spans="1:21" ht="18.75" x14ac:dyDescent="0.2">
      <c r="A833" s="35" t="s">
        <v>48</v>
      </c>
      <c r="B833" s="65" t="s">
        <v>4512</v>
      </c>
      <c r="C833" s="65"/>
      <c r="D833" s="64"/>
      <c r="E833" s="65"/>
      <c r="F833" s="64"/>
      <c r="G833" s="65"/>
      <c r="H833" s="64"/>
      <c r="I833" s="35"/>
      <c r="J833" s="35"/>
      <c r="K833" s="35"/>
      <c r="L833" s="35"/>
      <c r="M833" s="35"/>
      <c r="N833" s="35"/>
      <c r="O833" s="35"/>
      <c r="P833" s="35"/>
      <c r="Q833" s="35"/>
      <c r="R833" s="35"/>
      <c r="S833" s="35"/>
    </row>
    <row r="835" spans="1:21" s="107" customFormat="1" ht="15" x14ac:dyDescent="0.25">
      <c r="A835" s="114" t="s">
        <v>1902</v>
      </c>
      <c r="B835" s="114" t="s">
        <v>4885</v>
      </c>
      <c r="C835" s="75" t="s">
        <v>4886</v>
      </c>
      <c r="D835" s="114"/>
      <c r="E835" s="75" t="s">
        <v>4887</v>
      </c>
      <c r="F835" s="75" t="s">
        <v>4887</v>
      </c>
      <c r="G835" s="75" t="s">
        <v>4882</v>
      </c>
      <c r="H835" s="114"/>
      <c r="J835" s="107" t="s">
        <v>806</v>
      </c>
      <c r="K835" s="114" t="s">
        <v>17</v>
      </c>
      <c r="O835" s="114" t="s">
        <v>4342</v>
      </c>
    </row>
    <row r="836" spans="1:21" s="106" customFormat="1" ht="15" x14ac:dyDescent="0.25">
      <c r="A836" s="16" t="s">
        <v>21</v>
      </c>
      <c r="B836" s="114" t="s">
        <v>3319</v>
      </c>
      <c r="C836" s="16"/>
      <c r="D836" s="82"/>
      <c r="E836" s="16"/>
      <c r="F836" s="82"/>
      <c r="G836" s="16"/>
      <c r="H836" s="82"/>
      <c r="I836" s="16"/>
      <c r="J836" s="16"/>
      <c r="K836" s="16"/>
      <c r="L836" s="16"/>
      <c r="M836" s="16" t="s">
        <v>4888</v>
      </c>
      <c r="N836" s="16"/>
      <c r="O836" s="16"/>
      <c r="P836" s="16"/>
      <c r="Q836" s="16"/>
      <c r="R836" s="16"/>
      <c r="S836" s="16"/>
    </row>
    <row r="838" spans="1:21" s="125" customFormat="1" ht="18.75" x14ac:dyDescent="0.2">
      <c r="A838" s="122" t="s">
        <v>16</v>
      </c>
      <c r="B838" s="123" t="s">
        <v>5053</v>
      </c>
      <c r="C838" s="123" t="s">
        <v>5054</v>
      </c>
      <c r="D838" s="124"/>
      <c r="E838" s="123" t="s">
        <v>5055</v>
      </c>
      <c r="F838" s="124"/>
      <c r="G838" s="123" t="s">
        <v>5056</v>
      </c>
      <c r="H838" s="124"/>
      <c r="I838" s="122"/>
      <c r="J838" s="122"/>
      <c r="K838" s="122"/>
      <c r="L838" s="122"/>
      <c r="M838" s="122"/>
      <c r="N838" s="122"/>
      <c r="O838" s="122" t="s">
        <v>4342</v>
      </c>
      <c r="P838" s="122"/>
      <c r="Q838" s="122"/>
      <c r="R838" s="122"/>
      <c r="S838" s="122"/>
    </row>
    <row r="839" spans="1:21" s="125" customFormat="1" x14ac:dyDescent="0.2">
      <c r="A839" s="126"/>
      <c r="B839" s="126"/>
      <c r="C839" s="126"/>
      <c r="D839" s="127"/>
      <c r="E839" s="128"/>
      <c r="F839" s="129"/>
      <c r="G839" s="128"/>
      <c r="H839" s="129"/>
      <c r="I839" s="126"/>
      <c r="J839" s="126"/>
      <c r="K839" s="126"/>
      <c r="L839" s="126"/>
      <c r="M839" s="126"/>
      <c r="N839" s="126"/>
      <c r="O839" s="126"/>
      <c r="P839" s="126"/>
      <c r="Q839" s="126"/>
      <c r="R839" s="126"/>
      <c r="S839" s="126"/>
    </row>
    <row r="840" spans="1:21" s="125" customFormat="1" x14ac:dyDescent="0.2">
      <c r="A840" s="126" t="s">
        <v>22</v>
      </c>
      <c r="B840" s="126" t="s">
        <v>4893</v>
      </c>
      <c r="C840" s="126" t="s">
        <v>4890</v>
      </c>
      <c r="D840" s="127"/>
      <c r="E840" s="128" t="s">
        <v>4891</v>
      </c>
      <c r="F840" s="129"/>
      <c r="G840" s="128" t="s">
        <v>4892</v>
      </c>
      <c r="H840" s="129"/>
      <c r="I840" s="126"/>
      <c r="J840" s="126"/>
      <c r="K840" s="126"/>
      <c r="L840" s="126"/>
      <c r="M840" s="126"/>
      <c r="N840" s="126"/>
      <c r="O840" s="126"/>
      <c r="P840" s="126"/>
      <c r="Q840" s="126"/>
      <c r="R840" s="126"/>
      <c r="S840" s="126"/>
    </row>
    <row r="841" spans="1:21" s="125" customFormat="1" x14ac:dyDescent="0.2">
      <c r="A841" s="126"/>
      <c r="B841" s="126"/>
      <c r="C841" s="126"/>
      <c r="D841" s="127"/>
      <c r="E841" s="128"/>
      <c r="F841" s="129"/>
      <c r="G841" s="128"/>
      <c r="H841" s="129"/>
      <c r="I841" s="126"/>
      <c r="J841" s="126"/>
      <c r="K841" s="126"/>
      <c r="L841" s="126"/>
      <c r="M841" s="126"/>
      <c r="N841" s="126"/>
      <c r="O841" s="126"/>
      <c r="P841" s="126"/>
      <c r="Q841" s="126"/>
      <c r="R841" s="126"/>
      <c r="S841" s="126"/>
    </row>
    <row r="842" spans="1:21" s="130" customFormat="1" ht="15" x14ac:dyDescent="0.25">
      <c r="A842" s="130" t="s">
        <v>21</v>
      </c>
      <c r="B842" s="130" t="s">
        <v>5058</v>
      </c>
      <c r="M842" s="131" t="s">
        <v>5057</v>
      </c>
    </row>
    <row r="843" spans="1:21" s="130" customFormat="1" ht="15" x14ac:dyDescent="0.25">
      <c r="M843" s="131"/>
    </row>
    <row r="844" spans="1:21" s="125" customFormat="1" x14ac:dyDescent="0.2">
      <c r="A844" s="128" t="s">
        <v>16</v>
      </c>
      <c r="B844" s="128" t="s">
        <v>5059</v>
      </c>
      <c r="C844" s="128"/>
      <c r="D844" s="129"/>
      <c r="E844" s="128"/>
      <c r="F844" s="129"/>
      <c r="G844" s="128"/>
      <c r="H844" s="129"/>
      <c r="I844" s="128"/>
      <c r="J844" s="129"/>
      <c r="K844" s="128"/>
      <c r="L844" s="128"/>
      <c r="M844" s="128"/>
      <c r="N844" s="128"/>
      <c r="O844" s="126" t="s">
        <v>5060</v>
      </c>
      <c r="P844" s="126"/>
      <c r="Q844" s="126"/>
      <c r="R844" s="126"/>
      <c r="S844" s="126"/>
      <c r="T844" s="126"/>
      <c r="U844" s="126"/>
    </row>
    <row r="845" spans="1:21" s="125" customFormat="1" x14ac:dyDescent="0.2">
      <c r="A845" s="128" t="s">
        <v>16</v>
      </c>
      <c r="B845" s="128" t="str">
        <f>B846&amp;"gr"</f>
        <v>md_2gr</v>
      </c>
      <c r="C845" s="128"/>
      <c r="D845" s="129"/>
      <c r="E845" s="128"/>
      <c r="F845" s="129"/>
      <c r="G845" s="128"/>
      <c r="H845" s="129"/>
      <c r="I845" s="128"/>
      <c r="J845" s="129"/>
      <c r="K845" s="128"/>
      <c r="L845" s="128"/>
      <c r="M845" s="128"/>
      <c r="N845" s="128"/>
      <c r="O845" s="126"/>
      <c r="P845" s="126" t="s">
        <v>47</v>
      </c>
      <c r="Q845" s="126"/>
      <c r="R845" s="126"/>
      <c r="S845" s="126"/>
      <c r="T845" s="126"/>
      <c r="U845" s="126"/>
    </row>
    <row r="846" spans="1:21" s="125" customFormat="1" x14ac:dyDescent="0.2">
      <c r="A846" s="126" t="s">
        <v>22</v>
      </c>
      <c r="B846" s="126" t="s">
        <v>4897</v>
      </c>
      <c r="C846" s="126" t="s">
        <v>4894</v>
      </c>
      <c r="D846" s="127"/>
      <c r="E846" s="128" t="s">
        <v>4895</v>
      </c>
      <c r="F846" s="129"/>
      <c r="G846" s="128" t="s">
        <v>4896</v>
      </c>
      <c r="H846" s="129"/>
      <c r="I846" s="126"/>
      <c r="J846" s="126"/>
      <c r="K846" s="126"/>
      <c r="L846" s="126"/>
      <c r="M846" s="126"/>
      <c r="N846" s="126"/>
      <c r="O846" s="126"/>
      <c r="P846" s="126"/>
      <c r="Q846" s="126"/>
      <c r="R846" s="126"/>
      <c r="S846" s="126"/>
    </row>
    <row r="847" spans="1:21" s="125" customFormat="1" x14ac:dyDescent="0.2">
      <c r="A847" s="128" t="s">
        <v>4986</v>
      </c>
      <c r="B847" s="126" t="s">
        <v>4964</v>
      </c>
      <c r="C847" s="126" t="s">
        <v>4898</v>
      </c>
      <c r="D847" s="127"/>
      <c r="E847" s="128" t="s">
        <v>4920</v>
      </c>
      <c r="F847" s="129"/>
      <c r="G847" s="128" t="s">
        <v>4942</v>
      </c>
      <c r="H847" s="129"/>
      <c r="I847" s="126"/>
      <c r="J847" s="126"/>
      <c r="K847" s="128" t="s">
        <v>17</v>
      </c>
      <c r="L847" s="126"/>
      <c r="M847" s="126"/>
      <c r="N847" s="126"/>
      <c r="O847" s="126"/>
      <c r="P847" s="126"/>
      <c r="Q847" s="126"/>
      <c r="R847" s="126"/>
      <c r="S847" s="126"/>
    </row>
    <row r="848" spans="1:21" s="125" customFormat="1" x14ac:dyDescent="0.2">
      <c r="A848" s="128" t="s">
        <v>4986</v>
      </c>
      <c r="B848" s="126" t="s">
        <v>4965</v>
      </c>
      <c r="C848" s="126" t="s">
        <v>4899</v>
      </c>
      <c r="D848" s="127"/>
      <c r="E848" s="128" t="s">
        <v>4921</v>
      </c>
      <c r="F848" s="129"/>
      <c r="G848" s="128" t="s">
        <v>4943</v>
      </c>
      <c r="H848" s="129"/>
      <c r="I848" s="126"/>
      <c r="J848" s="126"/>
      <c r="K848" s="128" t="s">
        <v>17</v>
      </c>
      <c r="L848" s="126"/>
      <c r="M848" s="126"/>
      <c r="N848" s="126"/>
      <c r="O848" s="126"/>
      <c r="P848" s="126"/>
      <c r="Q848" s="126"/>
      <c r="R848" s="126"/>
      <c r="S848" s="126"/>
    </row>
    <row r="849" spans="1:19" s="125" customFormat="1" x14ac:dyDescent="0.2">
      <c r="A849" s="128" t="s">
        <v>4986</v>
      </c>
      <c r="B849" s="126" t="s">
        <v>4966</v>
      </c>
      <c r="C849" s="126" t="s">
        <v>4900</v>
      </c>
      <c r="D849" s="127"/>
      <c r="E849" s="128" t="s">
        <v>4922</v>
      </c>
      <c r="F849" s="129"/>
      <c r="G849" s="128" t="s">
        <v>4944</v>
      </c>
      <c r="H849" s="129"/>
      <c r="I849" s="126"/>
      <c r="J849" s="126"/>
      <c r="K849" s="128" t="s">
        <v>17</v>
      </c>
      <c r="L849" s="126"/>
      <c r="M849" s="126"/>
      <c r="N849" s="126"/>
      <c r="O849" s="126"/>
      <c r="P849" s="126"/>
      <c r="Q849" s="126"/>
      <c r="R849" s="126"/>
      <c r="S849" s="126"/>
    </row>
    <row r="850" spans="1:19" s="125" customFormat="1" x14ac:dyDescent="0.2">
      <c r="A850" s="128" t="s">
        <v>4986</v>
      </c>
      <c r="B850" s="126" t="s">
        <v>4967</v>
      </c>
      <c r="C850" s="126" t="s">
        <v>4901</v>
      </c>
      <c r="D850" s="127"/>
      <c r="E850" s="128" t="s">
        <v>4923</v>
      </c>
      <c r="F850" s="129"/>
      <c r="G850" s="128" t="s">
        <v>4945</v>
      </c>
      <c r="H850" s="129"/>
      <c r="I850" s="126"/>
      <c r="J850" s="126"/>
      <c r="K850" s="128" t="s">
        <v>17</v>
      </c>
      <c r="L850" s="126"/>
      <c r="M850" s="126"/>
      <c r="N850" s="126"/>
      <c r="O850" s="126"/>
      <c r="P850" s="126"/>
      <c r="Q850" s="126"/>
      <c r="R850" s="126"/>
      <c r="S850" s="126"/>
    </row>
    <row r="851" spans="1:19" s="125" customFormat="1" x14ac:dyDescent="0.2">
      <c r="A851" s="128" t="s">
        <v>4986</v>
      </c>
      <c r="B851" s="126" t="s">
        <v>4968</v>
      </c>
      <c r="C851" s="126" t="s">
        <v>4902</v>
      </c>
      <c r="D851" s="127"/>
      <c r="E851" s="128" t="s">
        <v>4924</v>
      </c>
      <c r="F851" s="129"/>
      <c r="G851" s="128" t="s">
        <v>4946</v>
      </c>
      <c r="H851" s="129"/>
      <c r="I851" s="126"/>
      <c r="J851" s="126"/>
      <c r="K851" s="128" t="s">
        <v>17</v>
      </c>
      <c r="L851" s="126"/>
      <c r="M851" s="126"/>
      <c r="N851" s="126"/>
      <c r="O851" s="126"/>
      <c r="P851" s="126"/>
      <c r="Q851" s="126"/>
      <c r="R851" s="126"/>
      <c r="S851" s="126"/>
    </row>
    <row r="852" spans="1:19" s="125" customFormat="1" x14ac:dyDescent="0.2">
      <c r="A852" s="128" t="s">
        <v>4986</v>
      </c>
      <c r="B852" s="126" t="s">
        <v>4969</v>
      </c>
      <c r="C852" s="126" t="s">
        <v>4903</v>
      </c>
      <c r="D852" s="127"/>
      <c r="E852" s="128" t="s">
        <v>4925</v>
      </c>
      <c r="F852" s="129"/>
      <c r="G852" s="128" t="s">
        <v>4947</v>
      </c>
      <c r="H852" s="129"/>
      <c r="I852" s="126"/>
      <c r="J852" s="126"/>
      <c r="K852" s="128" t="s">
        <v>17</v>
      </c>
      <c r="L852" s="126"/>
      <c r="M852" s="126"/>
      <c r="N852" s="126"/>
      <c r="O852" s="126"/>
      <c r="P852" s="126"/>
      <c r="Q852" s="126"/>
      <c r="R852" s="126"/>
      <c r="S852" s="126"/>
    </row>
    <row r="853" spans="1:19" s="125" customFormat="1" x14ac:dyDescent="0.2">
      <c r="A853" s="128" t="s">
        <v>4986</v>
      </c>
      <c r="B853" s="126" t="s">
        <v>4970</v>
      </c>
      <c r="C853" s="126" t="s">
        <v>4904</v>
      </c>
      <c r="D853" s="127"/>
      <c r="E853" s="128" t="s">
        <v>4926</v>
      </c>
      <c r="F853" s="129"/>
      <c r="G853" s="128" t="s">
        <v>4948</v>
      </c>
      <c r="H853" s="129"/>
      <c r="I853" s="126"/>
      <c r="J853" s="126"/>
      <c r="K853" s="128" t="s">
        <v>17</v>
      </c>
      <c r="L853" s="126"/>
      <c r="M853" s="126"/>
      <c r="N853" s="126"/>
      <c r="O853" s="126"/>
      <c r="P853" s="126"/>
      <c r="Q853" s="126"/>
      <c r="R853" s="126"/>
      <c r="S853" s="126"/>
    </row>
    <row r="854" spans="1:19" s="125" customFormat="1" x14ac:dyDescent="0.2">
      <c r="A854" s="128" t="s">
        <v>4986</v>
      </c>
      <c r="B854" s="126" t="s">
        <v>4971</v>
      </c>
      <c r="C854" s="126" t="s">
        <v>4905</v>
      </c>
      <c r="D854" s="127"/>
      <c r="E854" s="128" t="s">
        <v>4927</v>
      </c>
      <c r="F854" s="129"/>
      <c r="G854" s="128" t="s">
        <v>4949</v>
      </c>
      <c r="H854" s="129"/>
      <c r="I854" s="126"/>
      <c r="J854" s="126"/>
      <c r="K854" s="128" t="s">
        <v>17</v>
      </c>
      <c r="L854" s="126"/>
      <c r="M854" s="126"/>
      <c r="N854" s="126"/>
      <c r="O854" s="126"/>
      <c r="P854" s="126"/>
      <c r="Q854" s="126"/>
      <c r="R854" s="126"/>
      <c r="S854" s="126"/>
    </row>
    <row r="855" spans="1:19" s="125" customFormat="1" x14ac:dyDescent="0.2">
      <c r="A855" s="128" t="s">
        <v>4986</v>
      </c>
      <c r="B855" s="126" t="s">
        <v>4972</v>
      </c>
      <c r="C855" s="126" t="s">
        <v>4906</v>
      </c>
      <c r="D855" s="127"/>
      <c r="E855" s="128" t="s">
        <v>4928</v>
      </c>
      <c r="F855" s="129"/>
      <c r="G855" s="128" t="s">
        <v>4950</v>
      </c>
      <c r="H855" s="129"/>
      <c r="I855" s="126"/>
      <c r="J855" s="126"/>
      <c r="K855" s="128" t="s">
        <v>17</v>
      </c>
      <c r="L855" s="126"/>
      <c r="M855" s="126"/>
      <c r="N855" s="126"/>
      <c r="O855" s="126"/>
      <c r="P855" s="126"/>
      <c r="Q855" s="126"/>
      <c r="R855" s="126"/>
      <c r="S855" s="126"/>
    </row>
    <row r="856" spans="1:19" s="125" customFormat="1" x14ac:dyDescent="0.2">
      <c r="A856" s="128" t="s">
        <v>4986</v>
      </c>
      <c r="B856" s="126" t="s">
        <v>4973</v>
      </c>
      <c r="C856" s="126" t="s">
        <v>4907</v>
      </c>
      <c r="D856" s="127"/>
      <c r="E856" s="128" t="s">
        <v>4929</v>
      </c>
      <c r="F856" s="129"/>
      <c r="G856" s="128" t="s">
        <v>4951</v>
      </c>
      <c r="H856" s="129"/>
      <c r="I856" s="126"/>
      <c r="J856" s="126"/>
      <c r="K856" s="128" t="s">
        <v>17</v>
      </c>
      <c r="L856" s="126"/>
      <c r="M856" s="126"/>
      <c r="N856" s="126"/>
      <c r="O856" s="126"/>
      <c r="P856" s="126"/>
      <c r="Q856" s="126"/>
      <c r="R856" s="126"/>
      <c r="S856" s="126"/>
    </row>
    <row r="857" spans="1:19" s="125" customFormat="1" x14ac:dyDescent="0.2">
      <c r="A857" s="128" t="s">
        <v>4986</v>
      </c>
      <c r="B857" s="126" t="s">
        <v>4974</v>
      </c>
      <c r="C857" s="126" t="s">
        <v>4908</v>
      </c>
      <c r="D857" s="127"/>
      <c r="E857" s="128" t="s">
        <v>4930</v>
      </c>
      <c r="F857" s="129"/>
      <c r="G857" s="128" t="s">
        <v>4952</v>
      </c>
      <c r="H857" s="129"/>
      <c r="I857" s="126"/>
      <c r="J857" s="126"/>
      <c r="K857" s="128" t="s">
        <v>17</v>
      </c>
      <c r="L857" s="126"/>
      <c r="M857" s="126"/>
      <c r="N857" s="126"/>
      <c r="O857" s="126"/>
      <c r="P857" s="126"/>
      <c r="Q857" s="126"/>
      <c r="R857" s="126"/>
      <c r="S857" s="126"/>
    </row>
    <row r="858" spans="1:19" s="125" customFormat="1" x14ac:dyDescent="0.2">
      <c r="A858" s="128" t="s">
        <v>4986</v>
      </c>
      <c r="B858" s="126" t="s">
        <v>4975</v>
      </c>
      <c r="C858" s="126" t="s">
        <v>4909</v>
      </c>
      <c r="D858" s="127"/>
      <c r="E858" s="128" t="s">
        <v>4931</v>
      </c>
      <c r="F858" s="129"/>
      <c r="G858" s="128" t="s">
        <v>4953</v>
      </c>
      <c r="H858" s="129"/>
      <c r="I858" s="126"/>
      <c r="J858" s="126"/>
      <c r="K858" s="128" t="s">
        <v>17</v>
      </c>
      <c r="L858" s="126"/>
      <c r="M858" s="126"/>
      <c r="N858" s="126"/>
      <c r="O858" s="126"/>
      <c r="P858" s="126"/>
      <c r="Q858" s="126"/>
      <c r="R858" s="126"/>
      <c r="S858" s="126"/>
    </row>
    <row r="859" spans="1:19" s="125" customFormat="1" x14ac:dyDescent="0.2">
      <c r="A859" s="128" t="s">
        <v>4986</v>
      </c>
      <c r="B859" s="126" t="s">
        <v>4976</v>
      </c>
      <c r="C859" s="126" t="s">
        <v>4910</v>
      </c>
      <c r="D859" s="127"/>
      <c r="E859" s="128" t="s">
        <v>4932</v>
      </c>
      <c r="F859" s="129"/>
      <c r="G859" s="128" t="s">
        <v>4954</v>
      </c>
      <c r="H859" s="129"/>
      <c r="I859" s="126"/>
      <c r="J859" s="126"/>
      <c r="K859" s="128" t="s">
        <v>17</v>
      </c>
      <c r="L859" s="126"/>
      <c r="M859" s="126"/>
      <c r="N859" s="126"/>
      <c r="O859" s="126"/>
      <c r="P859" s="126"/>
      <c r="Q859" s="126"/>
      <c r="R859" s="126"/>
      <c r="S859" s="126"/>
    </row>
    <row r="860" spans="1:19" s="125" customFormat="1" x14ac:dyDescent="0.2">
      <c r="A860" s="128" t="s">
        <v>4986</v>
      </c>
      <c r="B860" s="126" t="s">
        <v>4977</v>
      </c>
      <c r="C860" s="126" t="s">
        <v>4911</v>
      </c>
      <c r="D860" s="127"/>
      <c r="E860" s="128" t="s">
        <v>4933</v>
      </c>
      <c r="F860" s="129"/>
      <c r="G860" s="128" t="s">
        <v>4955</v>
      </c>
      <c r="H860" s="129"/>
      <c r="I860" s="126"/>
      <c r="J860" s="126"/>
      <c r="K860" s="128" t="s">
        <v>17</v>
      </c>
      <c r="L860" s="126"/>
      <c r="M860" s="126"/>
      <c r="N860" s="126"/>
      <c r="O860" s="126"/>
      <c r="P860" s="126"/>
      <c r="Q860" s="126"/>
      <c r="R860" s="126"/>
      <c r="S860" s="126"/>
    </row>
    <row r="861" spans="1:19" s="125" customFormat="1" x14ac:dyDescent="0.2">
      <c r="A861" s="128" t="s">
        <v>4986</v>
      </c>
      <c r="B861" s="126" t="s">
        <v>4978</v>
      </c>
      <c r="C861" s="126" t="s">
        <v>4912</v>
      </c>
      <c r="D861" s="127"/>
      <c r="E861" s="128" t="s">
        <v>4934</v>
      </c>
      <c r="F861" s="129"/>
      <c r="G861" s="128" t="s">
        <v>4956</v>
      </c>
      <c r="H861" s="129"/>
      <c r="I861" s="126"/>
      <c r="J861" s="126"/>
      <c r="K861" s="128" t="s">
        <v>17</v>
      </c>
      <c r="L861" s="126"/>
      <c r="M861" s="126"/>
      <c r="N861" s="126"/>
      <c r="O861" s="126"/>
      <c r="P861" s="126"/>
      <c r="Q861" s="126"/>
      <c r="R861" s="126"/>
      <c r="S861" s="126"/>
    </row>
    <row r="862" spans="1:19" s="125" customFormat="1" x14ac:dyDescent="0.2">
      <c r="A862" s="128" t="s">
        <v>4986</v>
      </c>
      <c r="B862" s="126" t="s">
        <v>4979</v>
      </c>
      <c r="C862" s="126" t="s">
        <v>4913</v>
      </c>
      <c r="D862" s="127"/>
      <c r="E862" s="128" t="s">
        <v>4935</v>
      </c>
      <c r="F862" s="129"/>
      <c r="G862" s="128" t="s">
        <v>4957</v>
      </c>
      <c r="H862" s="129"/>
      <c r="I862" s="126"/>
      <c r="J862" s="126"/>
      <c r="K862" s="128" t="s">
        <v>17</v>
      </c>
      <c r="L862" s="126"/>
      <c r="M862" s="126"/>
      <c r="N862" s="126"/>
      <c r="O862" s="126"/>
      <c r="P862" s="126"/>
      <c r="Q862" s="126"/>
      <c r="R862" s="126"/>
      <c r="S862" s="126"/>
    </row>
    <row r="863" spans="1:19" s="125" customFormat="1" x14ac:dyDescent="0.2">
      <c r="A863" s="128" t="s">
        <v>4986</v>
      </c>
      <c r="B863" s="126" t="s">
        <v>4980</v>
      </c>
      <c r="C863" s="126" t="s">
        <v>4914</v>
      </c>
      <c r="D863" s="127"/>
      <c r="E863" s="128" t="s">
        <v>4936</v>
      </c>
      <c r="F863" s="129"/>
      <c r="G863" s="128" t="s">
        <v>4958</v>
      </c>
      <c r="H863" s="129"/>
      <c r="I863" s="126"/>
      <c r="J863" s="126"/>
      <c r="K863" s="128" t="s">
        <v>17</v>
      </c>
      <c r="L863" s="126"/>
      <c r="M863" s="126"/>
      <c r="N863" s="126"/>
      <c r="O863" s="126"/>
      <c r="P863" s="126"/>
      <c r="Q863" s="126"/>
      <c r="R863" s="126"/>
      <c r="S863" s="126"/>
    </row>
    <row r="864" spans="1:19" s="125" customFormat="1" x14ac:dyDescent="0.2">
      <c r="A864" s="128" t="s">
        <v>4986</v>
      </c>
      <c r="B864" s="126" t="s">
        <v>4981</v>
      </c>
      <c r="C864" s="126" t="s">
        <v>4915</v>
      </c>
      <c r="D864" s="127"/>
      <c r="E864" s="128" t="s">
        <v>4937</v>
      </c>
      <c r="F864" s="129"/>
      <c r="G864" s="128" t="s">
        <v>4959</v>
      </c>
      <c r="H864" s="129"/>
      <c r="I864" s="126"/>
      <c r="J864" s="126"/>
      <c r="K864" s="128" t="s">
        <v>17</v>
      </c>
      <c r="L864" s="126"/>
      <c r="M864" s="126"/>
      <c r="N864" s="126"/>
      <c r="O864" s="126"/>
      <c r="P864" s="126"/>
      <c r="Q864" s="126"/>
      <c r="R864" s="126"/>
      <c r="S864" s="126"/>
    </row>
    <row r="865" spans="1:21" s="125" customFormat="1" x14ac:dyDescent="0.2">
      <c r="A865" s="128" t="s">
        <v>4986</v>
      </c>
      <c r="B865" s="126" t="s">
        <v>4982</v>
      </c>
      <c r="C865" s="126" t="s">
        <v>4916</v>
      </c>
      <c r="D865" s="127"/>
      <c r="E865" s="128" t="s">
        <v>4938</v>
      </c>
      <c r="F865" s="129"/>
      <c r="G865" s="128" t="s">
        <v>4960</v>
      </c>
      <c r="H865" s="129"/>
      <c r="I865" s="126"/>
      <c r="J865" s="126"/>
      <c r="K865" s="128" t="s">
        <v>17</v>
      </c>
      <c r="L865" s="126"/>
      <c r="M865" s="126"/>
      <c r="N865" s="126"/>
      <c r="O865" s="126"/>
      <c r="P865" s="126"/>
      <c r="Q865" s="126"/>
      <c r="R865" s="126"/>
      <c r="S865" s="126"/>
    </row>
    <row r="866" spans="1:21" s="125" customFormat="1" x14ac:dyDescent="0.2">
      <c r="A866" s="128" t="s">
        <v>4986</v>
      </c>
      <c r="B866" s="126" t="s">
        <v>4983</v>
      </c>
      <c r="C866" s="126" t="s">
        <v>4917</v>
      </c>
      <c r="D866" s="127"/>
      <c r="E866" s="128" t="s">
        <v>4939</v>
      </c>
      <c r="F866" s="129"/>
      <c r="G866" s="128" t="s">
        <v>4961</v>
      </c>
      <c r="H866" s="129"/>
      <c r="I866" s="126"/>
      <c r="J866" s="126"/>
      <c r="K866" s="128" t="s">
        <v>17</v>
      </c>
      <c r="L866" s="126"/>
      <c r="M866" s="126"/>
      <c r="N866" s="126"/>
      <c r="O866" s="126"/>
      <c r="P866" s="126"/>
      <c r="Q866" s="126"/>
      <c r="R866" s="126"/>
      <c r="S866" s="126"/>
    </row>
    <row r="867" spans="1:21" s="125" customFormat="1" x14ac:dyDescent="0.2">
      <c r="A867" s="128" t="s">
        <v>4986</v>
      </c>
      <c r="B867" s="126" t="s">
        <v>4984</v>
      </c>
      <c r="C867" s="126" t="s">
        <v>4918</v>
      </c>
      <c r="D867" s="127"/>
      <c r="E867" s="128" t="s">
        <v>4940</v>
      </c>
      <c r="F867" s="129"/>
      <c r="G867" s="128" t="s">
        <v>4962</v>
      </c>
      <c r="H867" s="129"/>
      <c r="I867" s="126"/>
      <c r="J867" s="126"/>
      <c r="K867" s="128" t="s">
        <v>17</v>
      </c>
      <c r="L867" s="126"/>
      <c r="M867" s="126"/>
      <c r="N867" s="126"/>
      <c r="O867" s="126"/>
      <c r="P867" s="126"/>
      <c r="Q867" s="126"/>
      <c r="R867" s="126"/>
      <c r="S867" s="126"/>
    </row>
    <row r="868" spans="1:21" s="125" customFormat="1" x14ac:dyDescent="0.2">
      <c r="A868" s="128" t="s">
        <v>4986</v>
      </c>
      <c r="B868" s="126" t="s">
        <v>4985</v>
      </c>
      <c r="C868" s="126" t="s">
        <v>4919</v>
      </c>
      <c r="D868" s="127"/>
      <c r="E868" s="128" t="s">
        <v>4941</v>
      </c>
      <c r="F868" s="129"/>
      <c r="G868" s="128" t="s">
        <v>4963</v>
      </c>
      <c r="H868" s="129"/>
      <c r="I868" s="126"/>
      <c r="J868" s="126"/>
      <c r="K868" s="128" t="s">
        <v>17</v>
      </c>
      <c r="L868" s="126"/>
      <c r="M868" s="126"/>
      <c r="N868" s="126"/>
      <c r="O868" s="126"/>
      <c r="P868" s="126"/>
      <c r="Q868" s="126"/>
      <c r="R868" s="126"/>
      <c r="S868" s="126"/>
    </row>
    <row r="869" spans="1:21" s="125" customFormat="1" x14ac:dyDescent="0.2">
      <c r="A869" s="128" t="s">
        <v>48</v>
      </c>
      <c r="B869" s="128"/>
      <c r="C869" s="128"/>
      <c r="D869" s="129"/>
      <c r="E869" s="128"/>
      <c r="F869" s="129"/>
      <c r="G869" s="128"/>
      <c r="H869" s="129"/>
      <c r="I869" s="128" t="s">
        <v>4846</v>
      </c>
      <c r="J869" s="129"/>
      <c r="K869" s="128"/>
      <c r="L869" s="128"/>
      <c r="M869" s="128"/>
      <c r="N869" s="128"/>
      <c r="O869" s="126"/>
      <c r="P869" s="126"/>
      <c r="Q869" s="126"/>
      <c r="R869" s="126"/>
      <c r="S869" s="126"/>
      <c r="T869" s="126"/>
      <c r="U869" s="126"/>
    </row>
    <row r="870" spans="1:21" s="125" customFormat="1" x14ac:dyDescent="0.2">
      <c r="A870" s="126"/>
      <c r="B870" s="126"/>
      <c r="C870" s="126"/>
      <c r="D870" s="127"/>
      <c r="E870" s="128"/>
      <c r="F870" s="129"/>
      <c r="G870" s="128"/>
      <c r="H870" s="129"/>
      <c r="I870" s="126"/>
      <c r="J870" s="126"/>
      <c r="K870" s="126"/>
      <c r="L870" s="126"/>
      <c r="M870" s="126"/>
      <c r="N870" s="126"/>
      <c r="O870" s="126"/>
      <c r="P870" s="126"/>
      <c r="Q870" s="126"/>
      <c r="R870" s="126"/>
      <c r="S870" s="126"/>
    </row>
    <row r="871" spans="1:21" s="125" customFormat="1" x14ac:dyDescent="0.2">
      <c r="A871" s="126" t="s">
        <v>26</v>
      </c>
      <c r="B871" s="126" t="s">
        <v>5002</v>
      </c>
      <c r="C871" s="126" t="s">
        <v>4999</v>
      </c>
      <c r="D871" s="127"/>
      <c r="E871" s="128" t="s">
        <v>5000</v>
      </c>
      <c r="F871" s="129"/>
      <c r="G871" s="128" t="s">
        <v>5001</v>
      </c>
      <c r="H871" s="129"/>
      <c r="I871" s="126"/>
      <c r="J871" s="126"/>
      <c r="K871" s="128" t="s">
        <v>17</v>
      </c>
      <c r="L871" s="126"/>
      <c r="M871" s="126"/>
      <c r="N871" s="126"/>
      <c r="O871" s="126"/>
      <c r="P871" s="126"/>
      <c r="Q871" s="126"/>
      <c r="R871" s="126"/>
      <c r="S871" s="126"/>
    </row>
    <row r="872" spans="1:21" s="125" customFormat="1" x14ac:dyDescent="0.2">
      <c r="A872" s="128" t="s">
        <v>5007</v>
      </c>
      <c r="B872" s="126" t="s">
        <v>5006</v>
      </c>
      <c r="C872" s="126" t="s">
        <v>5003</v>
      </c>
      <c r="D872" s="127"/>
      <c r="E872" s="128" t="s">
        <v>5004</v>
      </c>
      <c r="F872" s="129"/>
      <c r="G872" s="128" t="s">
        <v>5005</v>
      </c>
      <c r="H872" s="129"/>
      <c r="I872" s="126"/>
      <c r="J872" s="126"/>
      <c r="K872" s="128" t="s">
        <v>17</v>
      </c>
      <c r="L872" s="126"/>
      <c r="M872" s="126"/>
      <c r="N872" s="126"/>
      <c r="O872" s="126"/>
      <c r="P872" s="126"/>
      <c r="Q872" s="126"/>
      <c r="R872" s="126"/>
      <c r="S872" s="126"/>
    </row>
    <row r="873" spans="1:21" s="125" customFormat="1" x14ac:dyDescent="0.2">
      <c r="A873" s="128" t="s">
        <v>2202</v>
      </c>
      <c r="B873" s="126" t="s">
        <v>5015</v>
      </c>
      <c r="C873" s="126" t="s">
        <v>5012</v>
      </c>
      <c r="D873" s="127"/>
      <c r="E873" s="128" t="s">
        <v>5013</v>
      </c>
      <c r="F873" s="129"/>
      <c r="G873" s="128" t="s">
        <v>5014</v>
      </c>
      <c r="H873" s="129"/>
      <c r="I873" s="126"/>
      <c r="J873" s="126"/>
      <c r="K873" s="128" t="s">
        <v>17</v>
      </c>
      <c r="L873" s="126"/>
      <c r="M873" s="126"/>
      <c r="N873" s="126"/>
      <c r="O873" s="126"/>
      <c r="P873" s="126"/>
      <c r="Q873" s="126"/>
      <c r="R873" s="126"/>
      <c r="S873" s="126"/>
    </row>
    <row r="874" spans="1:21" s="125" customFormat="1" x14ac:dyDescent="0.2">
      <c r="A874" s="128" t="s">
        <v>5023</v>
      </c>
      <c r="B874" s="126" t="s">
        <v>5016</v>
      </c>
      <c r="C874" s="126" t="s">
        <v>5017</v>
      </c>
      <c r="D874" s="127" t="s">
        <v>5018</v>
      </c>
      <c r="E874" s="128" t="s">
        <v>5019</v>
      </c>
      <c r="F874" s="129" t="s">
        <v>5020</v>
      </c>
      <c r="G874" s="128" t="s">
        <v>5021</v>
      </c>
      <c r="H874" s="129" t="s">
        <v>5022</v>
      </c>
      <c r="I874" s="126"/>
      <c r="J874" s="126"/>
      <c r="K874" s="128" t="s">
        <v>17</v>
      </c>
      <c r="L874" s="126"/>
      <c r="M874" s="126"/>
      <c r="N874" s="126"/>
      <c r="O874" s="126"/>
      <c r="P874" s="126"/>
      <c r="Q874" s="126"/>
      <c r="R874" s="126"/>
      <c r="S874" s="126"/>
    </row>
    <row r="875" spans="1:21" s="125" customFormat="1" ht="15" x14ac:dyDescent="0.25">
      <c r="A875" s="128" t="s">
        <v>26</v>
      </c>
      <c r="B875" s="128" t="str">
        <f>B874&amp;"x"</f>
        <v>md_6x</v>
      </c>
      <c r="C875" s="128" t="s">
        <v>4868</v>
      </c>
      <c r="D875" s="130"/>
      <c r="E875" s="128" t="s">
        <v>4869</v>
      </c>
      <c r="F875" s="130"/>
      <c r="G875" s="128" t="s">
        <v>4870</v>
      </c>
      <c r="H875" s="130"/>
      <c r="I875" s="132"/>
      <c r="J875" s="128"/>
      <c r="K875" s="128" t="s">
        <v>17</v>
      </c>
      <c r="L875" s="126"/>
      <c r="M875" s="126"/>
      <c r="N875" s="126"/>
      <c r="O875" s="128" t="str">
        <f>"${"&amp;B874&amp;"}=96"</f>
        <v>${md_6}=96</v>
      </c>
      <c r="P875" s="126"/>
      <c r="Q875" s="126"/>
      <c r="R875" s="126"/>
      <c r="S875" s="126"/>
    </row>
    <row r="876" spans="1:21" s="125" customFormat="1" x14ac:dyDescent="0.2">
      <c r="A876" s="128" t="s">
        <v>5051</v>
      </c>
      <c r="B876" s="126" t="s">
        <v>5050</v>
      </c>
      <c r="C876" s="126" t="s">
        <v>5047</v>
      </c>
      <c r="D876" s="127" t="s">
        <v>5018</v>
      </c>
      <c r="E876" s="128" t="s">
        <v>5048</v>
      </c>
      <c r="F876" s="129" t="s">
        <v>5020</v>
      </c>
      <c r="G876" s="128" t="s">
        <v>5049</v>
      </c>
      <c r="H876" s="129" t="s">
        <v>5022</v>
      </c>
      <c r="I876" s="126"/>
      <c r="J876" s="126"/>
      <c r="K876" s="128" t="s">
        <v>17</v>
      </c>
      <c r="L876" s="126"/>
      <c r="M876" s="126"/>
      <c r="N876" s="126"/>
      <c r="O876" s="126"/>
      <c r="P876" s="126"/>
      <c r="Q876" s="126"/>
      <c r="R876" s="126"/>
      <c r="S876" s="126"/>
    </row>
    <row r="877" spans="1:21" s="125" customFormat="1" ht="15" x14ac:dyDescent="0.25">
      <c r="A877" s="128" t="s">
        <v>26</v>
      </c>
      <c r="B877" s="128" t="str">
        <f>B876&amp;"x"</f>
        <v>md_7x</v>
      </c>
      <c r="C877" s="128" t="s">
        <v>4868</v>
      </c>
      <c r="D877" s="130"/>
      <c r="E877" s="128" t="s">
        <v>4869</v>
      </c>
      <c r="F877" s="130"/>
      <c r="G877" s="128" t="s">
        <v>4870</v>
      </c>
      <c r="H877" s="130"/>
      <c r="I877" s="132"/>
      <c r="J877" s="128"/>
      <c r="K877" s="128" t="s">
        <v>17</v>
      </c>
      <c r="L877" s="126"/>
      <c r="M877" s="126"/>
      <c r="N877" s="126"/>
      <c r="O877" s="128" t="str">
        <f>"${"&amp;B876&amp;"}=96"</f>
        <v>${md_7}=96</v>
      </c>
      <c r="P877" s="126"/>
      <c r="Q877" s="126"/>
      <c r="R877" s="126"/>
      <c r="S877" s="126"/>
    </row>
    <row r="878" spans="1:21" s="125" customFormat="1" x14ac:dyDescent="0.2">
      <c r="A878" s="126"/>
      <c r="B878" s="126"/>
      <c r="C878" s="126"/>
      <c r="D878" s="127"/>
      <c r="E878" s="128"/>
      <c r="F878" s="129"/>
      <c r="G878" s="128"/>
      <c r="H878" s="129"/>
      <c r="I878" s="126"/>
      <c r="J878" s="126"/>
      <c r="K878" s="126"/>
      <c r="L878" s="126"/>
      <c r="M878" s="126"/>
      <c r="N878" s="126"/>
      <c r="O878" s="126"/>
      <c r="P878" s="126"/>
      <c r="Q878" s="126"/>
      <c r="R878" s="126"/>
      <c r="S878" s="126"/>
    </row>
    <row r="879" spans="1:21" s="125" customFormat="1" x14ac:dyDescent="0.2">
      <c r="A879" s="128" t="s">
        <v>48</v>
      </c>
      <c r="B879" s="128" t="s">
        <v>5059</v>
      </c>
      <c r="C879" s="128"/>
      <c r="D879" s="129"/>
      <c r="E879" s="128"/>
      <c r="F879" s="129"/>
      <c r="G879" s="128"/>
      <c r="H879" s="129"/>
      <c r="I879" s="128" t="s">
        <v>4846</v>
      </c>
      <c r="J879" s="129"/>
      <c r="K879" s="128"/>
      <c r="L879" s="128"/>
      <c r="M879" s="128"/>
      <c r="N879" s="128"/>
      <c r="O879" s="126"/>
      <c r="P879" s="126"/>
      <c r="Q879" s="126"/>
      <c r="R879" s="126"/>
      <c r="S879" s="126"/>
      <c r="T879" s="126"/>
      <c r="U879" s="126"/>
    </row>
    <row r="880" spans="1:21" s="125" customFormat="1" x14ac:dyDescent="0.2">
      <c r="A880" s="126"/>
      <c r="B880" s="126"/>
      <c r="C880" s="126"/>
      <c r="D880" s="127"/>
      <c r="E880" s="128"/>
      <c r="F880" s="129"/>
      <c r="G880" s="128"/>
      <c r="H880" s="129"/>
      <c r="I880" s="126"/>
      <c r="J880" s="126"/>
      <c r="K880" s="126"/>
      <c r="L880" s="126"/>
      <c r="M880" s="126"/>
      <c r="N880" s="126"/>
      <c r="O880" s="126"/>
      <c r="P880" s="126"/>
      <c r="Q880" s="126"/>
      <c r="R880" s="126"/>
      <c r="S880" s="126"/>
    </row>
    <row r="881" spans="1:21" s="125" customFormat="1" x14ac:dyDescent="0.2">
      <c r="A881" s="126"/>
      <c r="B881" s="126"/>
      <c r="C881" s="126"/>
      <c r="D881" s="127"/>
      <c r="E881" s="128"/>
      <c r="F881" s="129"/>
      <c r="G881" s="128"/>
      <c r="H881" s="129"/>
      <c r="I881" s="126"/>
      <c r="J881" s="126"/>
      <c r="K881" s="126"/>
      <c r="L881" s="126"/>
      <c r="M881" s="126"/>
      <c r="N881" s="126"/>
      <c r="O881" s="126"/>
      <c r="P881" s="126"/>
      <c r="Q881" s="126"/>
      <c r="R881" s="126"/>
      <c r="S881" s="126"/>
    </row>
    <row r="882" spans="1:21" s="125" customFormat="1" x14ac:dyDescent="0.2">
      <c r="A882" s="128" t="s">
        <v>16</v>
      </c>
      <c r="B882" s="128" t="s">
        <v>5090</v>
      </c>
      <c r="C882" s="128"/>
      <c r="D882" s="129"/>
      <c r="E882" s="128"/>
      <c r="F882" s="129"/>
      <c r="G882" s="128"/>
      <c r="H882" s="129"/>
      <c r="I882" s="128"/>
      <c r="J882" s="129"/>
      <c r="K882" s="128"/>
      <c r="L882" s="128"/>
      <c r="M882" s="128"/>
      <c r="N882" s="128"/>
      <c r="O882" s="126" t="s">
        <v>5089</v>
      </c>
      <c r="P882" s="126"/>
      <c r="Q882" s="126"/>
      <c r="R882" s="126"/>
      <c r="S882" s="126"/>
      <c r="T882" s="126"/>
      <c r="U882" s="126"/>
    </row>
    <row r="883" spans="1:21" s="125" customFormat="1" x14ac:dyDescent="0.2">
      <c r="A883" s="126" t="s">
        <v>26</v>
      </c>
      <c r="B883" s="126" t="s">
        <v>5084</v>
      </c>
      <c r="C883" s="126" t="s">
        <v>4999</v>
      </c>
      <c r="D883" s="127"/>
      <c r="E883" s="128" t="s">
        <v>5000</v>
      </c>
      <c r="F883" s="129"/>
      <c r="G883" s="128" t="s">
        <v>5001</v>
      </c>
      <c r="H883" s="129"/>
      <c r="I883" s="126"/>
      <c r="J883" s="126"/>
      <c r="K883" s="128" t="s">
        <v>17</v>
      </c>
      <c r="L883" s="126"/>
      <c r="M883" s="126"/>
      <c r="N883" s="126"/>
      <c r="O883" s="126"/>
      <c r="P883" s="126"/>
      <c r="Q883" s="126"/>
      <c r="R883" s="126"/>
      <c r="S883" s="126"/>
    </row>
    <row r="884" spans="1:21" s="125" customFormat="1" x14ac:dyDescent="0.2">
      <c r="A884" s="128" t="s">
        <v>5007</v>
      </c>
      <c r="B884" s="126" t="s">
        <v>5085</v>
      </c>
      <c r="C884" s="126" t="s">
        <v>5003</v>
      </c>
      <c r="D884" s="127"/>
      <c r="E884" s="128" t="s">
        <v>5004</v>
      </c>
      <c r="F884" s="129"/>
      <c r="G884" s="128" t="s">
        <v>5005</v>
      </c>
      <c r="H884" s="129"/>
      <c r="I884" s="126"/>
      <c r="J884" s="126"/>
      <c r="K884" s="128" t="s">
        <v>17</v>
      </c>
      <c r="L884" s="126"/>
      <c r="M884" s="126"/>
      <c r="N884" s="126"/>
      <c r="O884" s="126"/>
      <c r="P884" s="126"/>
      <c r="Q884" s="126"/>
      <c r="R884" s="126"/>
      <c r="S884" s="126"/>
    </row>
    <row r="885" spans="1:21" s="125" customFormat="1" x14ac:dyDescent="0.2">
      <c r="A885" s="128" t="s">
        <v>2202</v>
      </c>
      <c r="B885" s="126" t="s">
        <v>5086</v>
      </c>
      <c r="C885" s="126" t="s">
        <v>5012</v>
      </c>
      <c r="D885" s="127"/>
      <c r="E885" s="128" t="s">
        <v>5013</v>
      </c>
      <c r="F885" s="129"/>
      <c r="G885" s="128" t="s">
        <v>5014</v>
      </c>
      <c r="H885" s="129"/>
      <c r="I885" s="126"/>
      <c r="J885" s="126"/>
      <c r="K885" s="128" t="s">
        <v>17</v>
      </c>
      <c r="L885" s="126"/>
      <c r="M885" s="126"/>
      <c r="N885" s="126"/>
      <c r="O885" s="126"/>
      <c r="P885" s="126"/>
      <c r="Q885" s="126"/>
      <c r="R885" s="126"/>
      <c r="S885" s="126"/>
    </row>
    <row r="886" spans="1:21" s="125" customFormat="1" x14ac:dyDescent="0.2">
      <c r="A886" s="128" t="s">
        <v>16</v>
      </c>
      <c r="B886" s="128" t="str">
        <f>B887&amp;"gr"</f>
        <v>mmd_2gr</v>
      </c>
      <c r="C886" s="128"/>
      <c r="D886" s="129"/>
      <c r="E886" s="128"/>
      <c r="F886" s="129"/>
      <c r="G886" s="128"/>
      <c r="H886" s="129"/>
      <c r="I886" s="128"/>
      <c r="J886" s="129"/>
      <c r="K886" s="128"/>
      <c r="L886" s="128"/>
      <c r="M886" s="128"/>
      <c r="N886" s="128"/>
      <c r="O886" s="126"/>
      <c r="P886" s="126" t="s">
        <v>47</v>
      </c>
      <c r="Q886" s="126"/>
      <c r="R886" s="126"/>
      <c r="S886" s="126"/>
      <c r="T886" s="126"/>
      <c r="U886" s="126"/>
    </row>
    <row r="887" spans="1:21" s="125" customFormat="1" x14ac:dyDescent="0.2">
      <c r="A887" s="126" t="s">
        <v>22</v>
      </c>
      <c r="B887" s="126" t="s">
        <v>5061</v>
      </c>
      <c r="C887" s="126" t="s">
        <v>4894</v>
      </c>
      <c r="D887" s="127"/>
      <c r="E887" s="128" t="s">
        <v>4895</v>
      </c>
      <c r="F887" s="129"/>
      <c r="G887" s="128" t="s">
        <v>4896</v>
      </c>
      <c r="H887" s="129"/>
      <c r="I887" s="126"/>
      <c r="J887" s="126"/>
      <c r="K887" s="126"/>
      <c r="L887" s="126"/>
      <c r="M887" s="126"/>
      <c r="N887" s="126"/>
      <c r="O887" s="126"/>
      <c r="P887" s="126"/>
      <c r="Q887" s="126"/>
      <c r="R887" s="126"/>
      <c r="S887" s="126"/>
    </row>
    <row r="888" spans="1:21" s="125" customFormat="1" x14ac:dyDescent="0.2">
      <c r="A888" s="128" t="s">
        <v>4986</v>
      </c>
      <c r="B888" s="126" t="s">
        <v>5062</v>
      </c>
      <c r="C888" s="126" t="s">
        <v>4898</v>
      </c>
      <c r="D888" s="127"/>
      <c r="E888" s="128" t="s">
        <v>4920</v>
      </c>
      <c r="F888" s="129"/>
      <c r="G888" s="128" t="s">
        <v>4942</v>
      </c>
      <c r="H888" s="129"/>
      <c r="I888" s="126"/>
      <c r="J888" s="126"/>
      <c r="K888" s="128" t="s">
        <v>17</v>
      </c>
      <c r="L888" s="126"/>
      <c r="M888" s="126"/>
      <c r="N888" s="126"/>
      <c r="O888" s="126"/>
      <c r="P888" s="126"/>
      <c r="Q888" s="126"/>
      <c r="R888" s="126"/>
      <c r="S888" s="126"/>
    </row>
    <row r="889" spans="1:21" s="125" customFormat="1" x14ac:dyDescent="0.2">
      <c r="A889" s="128" t="s">
        <v>4986</v>
      </c>
      <c r="B889" s="126" t="s">
        <v>5063</v>
      </c>
      <c r="C889" s="126" t="s">
        <v>4899</v>
      </c>
      <c r="D889" s="127"/>
      <c r="E889" s="128" t="s">
        <v>4921</v>
      </c>
      <c r="F889" s="129"/>
      <c r="G889" s="128" t="s">
        <v>4943</v>
      </c>
      <c r="H889" s="129"/>
      <c r="I889" s="126"/>
      <c r="J889" s="126"/>
      <c r="K889" s="128" t="s">
        <v>17</v>
      </c>
      <c r="L889" s="126"/>
      <c r="M889" s="126"/>
      <c r="N889" s="126"/>
      <c r="O889" s="126"/>
      <c r="P889" s="126"/>
      <c r="Q889" s="126"/>
      <c r="R889" s="126"/>
      <c r="S889" s="126"/>
    </row>
    <row r="890" spans="1:21" s="125" customFormat="1" x14ac:dyDescent="0.2">
      <c r="A890" s="128" t="s">
        <v>4986</v>
      </c>
      <c r="B890" s="126" t="s">
        <v>5064</v>
      </c>
      <c r="C890" s="126" t="s">
        <v>4900</v>
      </c>
      <c r="D890" s="127"/>
      <c r="E890" s="128" t="s">
        <v>4922</v>
      </c>
      <c r="F890" s="129"/>
      <c r="G890" s="128" t="s">
        <v>4944</v>
      </c>
      <c r="H890" s="129"/>
      <c r="I890" s="126"/>
      <c r="J890" s="126"/>
      <c r="K890" s="128" t="s">
        <v>17</v>
      </c>
      <c r="L890" s="126"/>
      <c r="M890" s="126"/>
      <c r="N890" s="126"/>
      <c r="O890" s="126"/>
      <c r="P890" s="126"/>
      <c r="Q890" s="126"/>
      <c r="R890" s="126"/>
      <c r="S890" s="126"/>
    </row>
    <row r="891" spans="1:21" s="125" customFormat="1" x14ac:dyDescent="0.2">
      <c r="A891" s="128" t="s">
        <v>4986</v>
      </c>
      <c r="B891" s="126" t="s">
        <v>5065</v>
      </c>
      <c r="C891" s="126" t="s">
        <v>4901</v>
      </c>
      <c r="D891" s="127"/>
      <c r="E891" s="128" t="s">
        <v>4923</v>
      </c>
      <c r="F891" s="129"/>
      <c r="G891" s="128" t="s">
        <v>4945</v>
      </c>
      <c r="H891" s="129"/>
      <c r="I891" s="126"/>
      <c r="J891" s="126"/>
      <c r="K891" s="128" t="s">
        <v>17</v>
      </c>
      <c r="L891" s="126"/>
      <c r="M891" s="126"/>
      <c r="N891" s="126"/>
      <c r="O891" s="126"/>
      <c r="P891" s="126"/>
      <c r="Q891" s="126"/>
      <c r="R891" s="126"/>
      <c r="S891" s="126"/>
    </row>
    <row r="892" spans="1:21" s="125" customFormat="1" x14ac:dyDescent="0.2">
      <c r="A892" s="128" t="s">
        <v>4986</v>
      </c>
      <c r="B892" s="126" t="s">
        <v>5066</v>
      </c>
      <c r="C892" s="126" t="s">
        <v>4902</v>
      </c>
      <c r="D892" s="127"/>
      <c r="E892" s="128" t="s">
        <v>4924</v>
      </c>
      <c r="F892" s="129"/>
      <c r="G892" s="128" t="s">
        <v>4946</v>
      </c>
      <c r="H892" s="129"/>
      <c r="I892" s="126"/>
      <c r="J892" s="126"/>
      <c r="K892" s="128" t="s">
        <v>17</v>
      </c>
      <c r="L892" s="126"/>
      <c r="M892" s="126"/>
      <c r="N892" s="126"/>
      <c r="O892" s="126"/>
      <c r="P892" s="126"/>
      <c r="Q892" s="126"/>
      <c r="R892" s="126"/>
      <c r="S892" s="126"/>
    </row>
    <row r="893" spans="1:21" s="125" customFormat="1" x14ac:dyDescent="0.2">
      <c r="A893" s="128" t="s">
        <v>4986</v>
      </c>
      <c r="B893" s="126" t="s">
        <v>5067</v>
      </c>
      <c r="C893" s="126" t="s">
        <v>4903</v>
      </c>
      <c r="D893" s="127"/>
      <c r="E893" s="128" t="s">
        <v>4925</v>
      </c>
      <c r="F893" s="129"/>
      <c r="G893" s="128" t="s">
        <v>4947</v>
      </c>
      <c r="H893" s="129"/>
      <c r="I893" s="126"/>
      <c r="J893" s="126"/>
      <c r="K893" s="128" t="s">
        <v>17</v>
      </c>
      <c r="L893" s="126"/>
      <c r="M893" s="126"/>
      <c r="N893" s="126"/>
      <c r="O893" s="126"/>
      <c r="P893" s="126"/>
      <c r="Q893" s="126"/>
      <c r="R893" s="126"/>
      <c r="S893" s="126"/>
    </row>
    <row r="894" spans="1:21" s="125" customFormat="1" x14ac:dyDescent="0.2">
      <c r="A894" s="128" t="s">
        <v>4986</v>
      </c>
      <c r="B894" s="126" t="s">
        <v>5068</v>
      </c>
      <c r="C894" s="126" t="s">
        <v>4904</v>
      </c>
      <c r="D894" s="127"/>
      <c r="E894" s="128" t="s">
        <v>4926</v>
      </c>
      <c r="F894" s="129"/>
      <c r="G894" s="128" t="s">
        <v>4948</v>
      </c>
      <c r="H894" s="129"/>
      <c r="I894" s="126"/>
      <c r="J894" s="126"/>
      <c r="K894" s="128" t="s">
        <v>17</v>
      </c>
      <c r="L894" s="126"/>
      <c r="M894" s="126"/>
      <c r="N894" s="126"/>
      <c r="O894" s="126"/>
      <c r="P894" s="126"/>
      <c r="Q894" s="126"/>
      <c r="R894" s="126"/>
      <c r="S894" s="126"/>
    </row>
    <row r="895" spans="1:21" s="125" customFormat="1" x14ac:dyDescent="0.2">
      <c r="A895" s="128" t="s">
        <v>4986</v>
      </c>
      <c r="B895" s="126" t="s">
        <v>5069</v>
      </c>
      <c r="C895" s="126" t="s">
        <v>4905</v>
      </c>
      <c r="D895" s="127"/>
      <c r="E895" s="128" t="s">
        <v>4927</v>
      </c>
      <c r="F895" s="129"/>
      <c r="G895" s="128" t="s">
        <v>4949</v>
      </c>
      <c r="H895" s="129"/>
      <c r="I895" s="126"/>
      <c r="J895" s="126"/>
      <c r="K895" s="128" t="s">
        <v>17</v>
      </c>
      <c r="L895" s="126"/>
      <c r="M895" s="126"/>
      <c r="N895" s="126"/>
      <c r="O895" s="126"/>
      <c r="P895" s="126"/>
      <c r="Q895" s="126"/>
      <c r="R895" s="126"/>
      <c r="S895" s="126"/>
    </row>
    <row r="896" spans="1:21" s="125" customFormat="1" x14ac:dyDescent="0.2">
      <c r="A896" s="128" t="s">
        <v>4986</v>
      </c>
      <c r="B896" s="126" t="s">
        <v>5070</v>
      </c>
      <c r="C896" s="126" t="s">
        <v>4906</v>
      </c>
      <c r="D896" s="127"/>
      <c r="E896" s="128" t="s">
        <v>4928</v>
      </c>
      <c r="F896" s="129"/>
      <c r="G896" s="128" t="s">
        <v>4950</v>
      </c>
      <c r="H896" s="129"/>
      <c r="I896" s="126"/>
      <c r="J896" s="126"/>
      <c r="K896" s="128" t="s">
        <v>17</v>
      </c>
      <c r="L896" s="126"/>
      <c r="M896" s="126"/>
      <c r="N896" s="126"/>
      <c r="O896" s="126"/>
      <c r="P896" s="126"/>
      <c r="Q896" s="126"/>
      <c r="R896" s="126"/>
      <c r="S896" s="126"/>
    </row>
    <row r="897" spans="1:21" s="125" customFormat="1" x14ac:dyDescent="0.2">
      <c r="A897" s="128" t="s">
        <v>4986</v>
      </c>
      <c r="B897" s="126" t="s">
        <v>5071</v>
      </c>
      <c r="C897" s="126" t="s">
        <v>4907</v>
      </c>
      <c r="D897" s="127"/>
      <c r="E897" s="128" t="s">
        <v>4929</v>
      </c>
      <c r="F897" s="129"/>
      <c r="G897" s="128" t="s">
        <v>4951</v>
      </c>
      <c r="H897" s="129"/>
      <c r="I897" s="126"/>
      <c r="J897" s="126"/>
      <c r="K897" s="128" t="s">
        <v>17</v>
      </c>
      <c r="L897" s="126"/>
      <c r="M897" s="126"/>
      <c r="N897" s="126"/>
      <c r="O897" s="126"/>
      <c r="P897" s="126"/>
      <c r="Q897" s="126"/>
      <c r="R897" s="126"/>
      <c r="S897" s="126"/>
    </row>
    <row r="898" spans="1:21" s="125" customFormat="1" x14ac:dyDescent="0.2">
      <c r="A898" s="128" t="s">
        <v>4986</v>
      </c>
      <c r="B898" s="126" t="s">
        <v>5072</v>
      </c>
      <c r="C898" s="126" t="s">
        <v>4908</v>
      </c>
      <c r="D898" s="127"/>
      <c r="E898" s="128" t="s">
        <v>4930</v>
      </c>
      <c r="F898" s="129"/>
      <c r="G898" s="128" t="s">
        <v>4952</v>
      </c>
      <c r="H898" s="129"/>
      <c r="I898" s="126"/>
      <c r="J898" s="126"/>
      <c r="K898" s="128" t="s">
        <v>17</v>
      </c>
      <c r="L898" s="126"/>
      <c r="M898" s="126"/>
      <c r="N898" s="126"/>
      <c r="O898" s="126"/>
      <c r="P898" s="126"/>
      <c r="Q898" s="126"/>
      <c r="R898" s="126"/>
      <c r="S898" s="126"/>
    </row>
    <row r="899" spans="1:21" s="125" customFormat="1" x14ac:dyDescent="0.2">
      <c r="A899" s="128" t="s">
        <v>4986</v>
      </c>
      <c r="B899" s="126" t="s">
        <v>5073</v>
      </c>
      <c r="C899" s="126" t="s">
        <v>4909</v>
      </c>
      <c r="D899" s="127"/>
      <c r="E899" s="128" t="s">
        <v>4931</v>
      </c>
      <c r="F899" s="129"/>
      <c r="G899" s="128" t="s">
        <v>4953</v>
      </c>
      <c r="H899" s="129"/>
      <c r="I899" s="126"/>
      <c r="J899" s="126"/>
      <c r="K899" s="128" t="s">
        <v>17</v>
      </c>
      <c r="L899" s="126"/>
      <c r="M899" s="126"/>
      <c r="N899" s="126"/>
      <c r="O899" s="126"/>
      <c r="P899" s="126"/>
      <c r="Q899" s="126"/>
      <c r="R899" s="126"/>
      <c r="S899" s="126"/>
    </row>
    <row r="900" spans="1:21" s="125" customFormat="1" x14ac:dyDescent="0.2">
      <c r="A900" s="128" t="s">
        <v>4986</v>
      </c>
      <c r="B900" s="126" t="s">
        <v>5074</v>
      </c>
      <c r="C900" s="126" t="s">
        <v>4910</v>
      </c>
      <c r="D900" s="127"/>
      <c r="E900" s="128" t="s">
        <v>4932</v>
      </c>
      <c r="F900" s="129"/>
      <c r="G900" s="128" t="s">
        <v>4954</v>
      </c>
      <c r="H900" s="129"/>
      <c r="I900" s="126"/>
      <c r="J900" s="126"/>
      <c r="K900" s="128" t="s">
        <v>17</v>
      </c>
      <c r="L900" s="126"/>
      <c r="M900" s="126"/>
      <c r="N900" s="126"/>
      <c r="O900" s="126"/>
      <c r="P900" s="126"/>
      <c r="Q900" s="126"/>
      <c r="R900" s="126"/>
      <c r="S900" s="126"/>
    </row>
    <row r="901" spans="1:21" s="125" customFormat="1" x14ac:dyDescent="0.2">
      <c r="A901" s="128" t="s">
        <v>4986</v>
      </c>
      <c r="B901" s="126" t="s">
        <v>5075</v>
      </c>
      <c r="C901" s="126" t="s">
        <v>4911</v>
      </c>
      <c r="D901" s="127"/>
      <c r="E901" s="128" t="s">
        <v>4933</v>
      </c>
      <c r="F901" s="129"/>
      <c r="G901" s="128" t="s">
        <v>4955</v>
      </c>
      <c r="H901" s="129"/>
      <c r="I901" s="126"/>
      <c r="J901" s="126"/>
      <c r="K901" s="128" t="s">
        <v>17</v>
      </c>
      <c r="L901" s="126"/>
      <c r="M901" s="126"/>
      <c r="N901" s="126"/>
      <c r="O901" s="126"/>
      <c r="P901" s="126"/>
      <c r="Q901" s="126"/>
      <c r="R901" s="126"/>
      <c r="S901" s="126"/>
    </row>
    <row r="902" spans="1:21" s="125" customFormat="1" x14ac:dyDescent="0.2">
      <c r="A902" s="128" t="s">
        <v>4986</v>
      </c>
      <c r="B902" s="126" t="s">
        <v>5076</v>
      </c>
      <c r="C902" s="126" t="s">
        <v>4912</v>
      </c>
      <c r="D902" s="127"/>
      <c r="E902" s="128" t="s">
        <v>4934</v>
      </c>
      <c r="F902" s="129"/>
      <c r="G902" s="128" t="s">
        <v>4956</v>
      </c>
      <c r="H902" s="129"/>
      <c r="I902" s="126"/>
      <c r="J902" s="126"/>
      <c r="K902" s="128" t="s">
        <v>17</v>
      </c>
      <c r="L902" s="126"/>
      <c r="M902" s="126"/>
      <c r="N902" s="126"/>
      <c r="O902" s="126"/>
      <c r="P902" s="126"/>
      <c r="Q902" s="126"/>
      <c r="R902" s="126"/>
      <c r="S902" s="126"/>
    </row>
    <row r="903" spans="1:21" s="125" customFormat="1" x14ac:dyDescent="0.2">
      <c r="A903" s="128" t="s">
        <v>4986</v>
      </c>
      <c r="B903" s="126" t="s">
        <v>5077</v>
      </c>
      <c r="C903" s="126" t="s">
        <v>4913</v>
      </c>
      <c r="D903" s="127"/>
      <c r="E903" s="128" t="s">
        <v>4935</v>
      </c>
      <c r="F903" s="129"/>
      <c r="G903" s="128" t="s">
        <v>4957</v>
      </c>
      <c r="H903" s="129"/>
      <c r="I903" s="126"/>
      <c r="J903" s="126"/>
      <c r="K903" s="128" t="s">
        <v>17</v>
      </c>
      <c r="L903" s="126"/>
      <c r="M903" s="126"/>
      <c r="N903" s="126"/>
      <c r="O903" s="126"/>
      <c r="P903" s="126"/>
      <c r="Q903" s="126"/>
      <c r="R903" s="126"/>
      <c r="S903" s="126"/>
    </row>
    <row r="904" spans="1:21" s="125" customFormat="1" x14ac:dyDescent="0.2">
      <c r="A904" s="128" t="s">
        <v>4986</v>
      </c>
      <c r="B904" s="126" t="s">
        <v>5078</v>
      </c>
      <c r="C904" s="126" t="s">
        <v>4914</v>
      </c>
      <c r="D904" s="127"/>
      <c r="E904" s="128" t="s">
        <v>4936</v>
      </c>
      <c r="F904" s="129"/>
      <c r="G904" s="128" t="s">
        <v>4958</v>
      </c>
      <c r="H904" s="129"/>
      <c r="I904" s="126"/>
      <c r="J904" s="126"/>
      <c r="K904" s="128" t="s">
        <v>17</v>
      </c>
      <c r="L904" s="126"/>
      <c r="M904" s="126"/>
      <c r="N904" s="126"/>
      <c r="O904" s="126"/>
      <c r="P904" s="126"/>
      <c r="Q904" s="126"/>
      <c r="R904" s="126"/>
      <c r="S904" s="126"/>
    </row>
    <row r="905" spans="1:21" s="125" customFormat="1" x14ac:dyDescent="0.2">
      <c r="A905" s="128" t="s">
        <v>4986</v>
      </c>
      <c r="B905" s="126" t="s">
        <v>5079</v>
      </c>
      <c r="C905" s="126" t="s">
        <v>4915</v>
      </c>
      <c r="D905" s="127"/>
      <c r="E905" s="128" t="s">
        <v>4937</v>
      </c>
      <c r="F905" s="129"/>
      <c r="G905" s="128" t="s">
        <v>4959</v>
      </c>
      <c r="H905" s="129"/>
      <c r="I905" s="126"/>
      <c r="J905" s="126"/>
      <c r="K905" s="128" t="s">
        <v>17</v>
      </c>
      <c r="L905" s="126"/>
      <c r="M905" s="126"/>
      <c r="N905" s="126"/>
      <c r="O905" s="126"/>
      <c r="P905" s="126"/>
      <c r="Q905" s="126"/>
      <c r="R905" s="126"/>
      <c r="S905" s="126"/>
    </row>
    <row r="906" spans="1:21" s="125" customFormat="1" x14ac:dyDescent="0.2">
      <c r="A906" s="128" t="s">
        <v>4986</v>
      </c>
      <c r="B906" s="126" t="s">
        <v>5080</v>
      </c>
      <c r="C906" s="126" t="s">
        <v>4916</v>
      </c>
      <c r="D906" s="127"/>
      <c r="E906" s="128" t="s">
        <v>4938</v>
      </c>
      <c r="F906" s="129"/>
      <c r="G906" s="128" t="s">
        <v>4960</v>
      </c>
      <c r="H906" s="129"/>
      <c r="I906" s="126"/>
      <c r="J906" s="126"/>
      <c r="K906" s="128" t="s">
        <v>17</v>
      </c>
      <c r="L906" s="126"/>
      <c r="M906" s="126"/>
      <c r="N906" s="126"/>
      <c r="O906" s="126"/>
      <c r="P906" s="126"/>
      <c r="Q906" s="126"/>
      <c r="R906" s="126"/>
      <c r="S906" s="126"/>
    </row>
    <row r="907" spans="1:21" s="125" customFormat="1" x14ac:dyDescent="0.2">
      <c r="A907" s="128" t="s">
        <v>4986</v>
      </c>
      <c r="B907" s="126" t="s">
        <v>5081</v>
      </c>
      <c r="C907" s="126" t="s">
        <v>4917</v>
      </c>
      <c r="D907" s="127"/>
      <c r="E907" s="128" t="s">
        <v>4939</v>
      </c>
      <c r="F907" s="129"/>
      <c r="G907" s="128" t="s">
        <v>4961</v>
      </c>
      <c r="H907" s="129"/>
      <c r="I907" s="126"/>
      <c r="J907" s="126"/>
      <c r="K907" s="128" t="s">
        <v>17</v>
      </c>
      <c r="L907" s="126"/>
      <c r="M907" s="126"/>
      <c r="N907" s="126"/>
      <c r="O907" s="126"/>
      <c r="P907" s="126"/>
      <c r="Q907" s="126"/>
      <c r="R907" s="126"/>
      <c r="S907" s="126"/>
    </row>
    <row r="908" spans="1:21" s="125" customFormat="1" x14ac:dyDescent="0.2">
      <c r="A908" s="128" t="s">
        <v>4986</v>
      </c>
      <c r="B908" s="126" t="s">
        <v>5082</v>
      </c>
      <c r="C908" s="126" t="s">
        <v>4918</v>
      </c>
      <c r="D908" s="127"/>
      <c r="E908" s="128" t="s">
        <v>4940</v>
      </c>
      <c r="F908" s="129"/>
      <c r="G908" s="128" t="s">
        <v>4962</v>
      </c>
      <c r="H908" s="129"/>
      <c r="I908" s="126"/>
      <c r="J908" s="126"/>
      <c r="K908" s="128" t="s">
        <v>17</v>
      </c>
      <c r="L908" s="126"/>
      <c r="M908" s="126"/>
      <c r="N908" s="126"/>
      <c r="O908" s="126"/>
      <c r="P908" s="126"/>
      <c r="Q908" s="126"/>
      <c r="R908" s="126"/>
      <c r="S908" s="126"/>
    </row>
    <row r="909" spans="1:21" s="125" customFormat="1" x14ac:dyDescent="0.2">
      <c r="A909" s="128" t="s">
        <v>4986</v>
      </c>
      <c r="B909" s="126" t="s">
        <v>5083</v>
      </c>
      <c r="C909" s="126" t="s">
        <v>4919</v>
      </c>
      <c r="D909" s="127"/>
      <c r="E909" s="128" t="s">
        <v>4941</v>
      </c>
      <c r="F909" s="129"/>
      <c r="G909" s="128" t="s">
        <v>4963</v>
      </c>
      <c r="H909" s="129"/>
      <c r="I909" s="126"/>
      <c r="J909" s="126"/>
      <c r="K909" s="128" t="s">
        <v>17</v>
      </c>
      <c r="L909" s="126"/>
      <c r="M909" s="126"/>
      <c r="N909" s="126"/>
      <c r="O909" s="126"/>
      <c r="P909" s="126"/>
      <c r="Q909" s="126"/>
      <c r="R909" s="126"/>
      <c r="S909" s="126"/>
    </row>
    <row r="910" spans="1:21" s="125" customFormat="1" x14ac:dyDescent="0.2">
      <c r="A910" s="128" t="s">
        <v>48</v>
      </c>
      <c r="B910" s="128"/>
      <c r="C910" s="128"/>
      <c r="D910" s="129"/>
      <c r="E910" s="128"/>
      <c r="F910" s="129"/>
      <c r="G910" s="128"/>
      <c r="H910" s="129"/>
      <c r="I910" s="128" t="s">
        <v>4846</v>
      </c>
      <c r="J910" s="129"/>
      <c r="K910" s="128"/>
      <c r="L910" s="128"/>
      <c r="M910" s="128"/>
      <c r="N910" s="128"/>
      <c r="O910" s="126"/>
      <c r="P910" s="126"/>
      <c r="Q910" s="126"/>
      <c r="R910" s="126"/>
      <c r="S910" s="126"/>
      <c r="T910" s="126"/>
      <c r="U910" s="126"/>
    </row>
    <row r="911" spans="1:21" s="125" customFormat="1" x14ac:dyDescent="0.2">
      <c r="A911" s="126"/>
      <c r="B911" s="126"/>
      <c r="C911" s="126"/>
      <c r="D911" s="127"/>
      <c r="E911" s="128"/>
      <c r="F911" s="129"/>
      <c r="G911" s="128"/>
      <c r="H911" s="129"/>
      <c r="I911" s="126"/>
      <c r="J911" s="126"/>
      <c r="K911" s="126"/>
      <c r="L911" s="126"/>
      <c r="M911" s="126"/>
      <c r="N911" s="126"/>
      <c r="O911" s="126"/>
      <c r="P911" s="126"/>
      <c r="Q911" s="126"/>
      <c r="R911" s="126"/>
      <c r="S911" s="126"/>
    </row>
    <row r="912" spans="1:21" s="125" customFormat="1" x14ac:dyDescent="0.2">
      <c r="A912" s="128" t="s">
        <v>5023</v>
      </c>
      <c r="B912" s="126" t="s">
        <v>5087</v>
      </c>
      <c r="C912" s="126" t="s">
        <v>5017</v>
      </c>
      <c r="D912" s="127" t="s">
        <v>5018</v>
      </c>
      <c r="E912" s="128" t="s">
        <v>5019</v>
      </c>
      <c r="F912" s="129" t="s">
        <v>5020</v>
      </c>
      <c r="G912" s="128" t="s">
        <v>5021</v>
      </c>
      <c r="H912" s="129" t="s">
        <v>5022</v>
      </c>
      <c r="I912" s="126"/>
      <c r="J912" s="126"/>
      <c r="K912" s="128" t="s">
        <v>17</v>
      </c>
      <c r="L912" s="126"/>
      <c r="M912" s="126"/>
      <c r="N912" s="126"/>
      <c r="O912" s="126"/>
      <c r="P912" s="126"/>
      <c r="Q912" s="126"/>
      <c r="R912" s="126"/>
      <c r="S912" s="126"/>
    </row>
    <row r="913" spans="1:21" s="125" customFormat="1" ht="15" x14ac:dyDescent="0.25">
      <c r="A913" s="128" t="s">
        <v>26</v>
      </c>
      <c r="B913" s="128" t="str">
        <f>B912&amp;"x"</f>
        <v>mmd_6x</v>
      </c>
      <c r="C913" s="128" t="s">
        <v>4868</v>
      </c>
      <c r="D913" s="130"/>
      <c r="E913" s="128" t="s">
        <v>4869</v>
      </c>
      <c r="F913" s="130"/>
      <c r="G913" s="128" t="s">
        <v>4870</v>
      </c>
      <c r="H913" s="130"/>
      <c r="I913" s="132"/>
      <c r="J913" s="128"/>
      <c r="K913" s="128" t="s">
        <v>17</v>
      </c>
      <c r="L913" s="126"/>
      <c r="M913" s="126"/>
      <c r="N913" s="126"/>
      <c r="O913" s="128" t="str">
        <f>"${"&amp;B912&amp;"}=96"</f>
        <v>${mmd_6}=96</v>
      </c>
      <c r="P913" s="126"/>
      <c r="Q913" s="126"/>
      <c r="R913" s="126"/>
      <c r="S913" s="126"/>
    </row>
    <row r="914" spans="1:21" s="125" customFormat="1" x14ac:dyDescent="0.2">
      <c r="A914" s="128" t="s">
        <v>5051</v>
      </c>
      <c r="B914" s="126" t="s">
        <v>5088</v>
      </c>
      <c r="C914" s="126" t="s">
        <v>5047</v>
      </c>
      <c r="D914" s="127" t="s">
        <v>5018</v>
      </c>
      <c r="E914" s="128" t="s">
        <v>5048</v>
      </c>
      <c r="F914" s="129" t="s">
        <v>5020</v>
      </c>
      <c r="G914" s="128" t="s">
        <v>5049</v>
      </c>
      <c r="H914" s="129" t="s">
        <v>5022</v>
      </c>
      <c r="I914" s="126"/>
      <c r="J914" s="126"/>
      <c r="K914" s="128" t="s">
        <v>17</v>
      </c>
      <c r="L914" s="126"/>
      <c r="M914" s="126"/>
      <c r="N914" s="126"/>
      <c r="O914" s="126"/>
      <c r="P914" s="126"/>
      <c r="Q914" s="126"/>
      <c r="R914" s="126"/>
      <c r="S914" s="126"/>
    </row>
    <row r="915" spans="1:21" s="125" customFormat="1" ht="15" x14ac:dyDescent="0.25">
      <c r="A915" s="128" t="s">
        <v>26</v>
      </c>
      <c r="B915" s="128" t="str">
        <f>B914&amp;"x"</f>
        <v>mmd_7x</v>
      </c>
      <c r="C915" s="128" t="s">
        <v>4868</v>
      </c>
      <c r="D915" s="130"/>
      <c r="E915" s="128" t="s">
        <v>4869</v>
      </c>
      <c r="F915" s="130"/>
      <c r="G915" s="128" t="s">
        <v>4870</v>
      </c>
      <c r="H915" s="130"/>
      <c r="I915" s="132"/>
      <c r="J915" s="128"/>
      <c r="K915" s="128" t="s">
        <v>17</v>
      </c>
      <c r="L915" s="126"/>
      <c r="M915" s="126"/>
      <c r="N915" s="126"/>
      <c r="O915" s="128" t="str">
        <f>"${"&amp;B914&amp;"}=96"</f>
        <v>${mmd_7}=96</v>
      </c>
      <c r="P915" s="126"/>
      <c r="Q915" s="126"/>
      <c r="R915" s="126"/>
      <c r="S915" s="126"/>
    </row>
    <row r="916" spans="1:21" s="125" customFormat="1" x14ac:dyDescent="0.2">
      <c r="A916" s="126"/>
      <c r="B916" s="126"/>
      <c r="C916" s="126"/>
      <c r="D916" s="127"/>
      <c r="E916" s="128"/>
      <c r="F916" s="129"/>
      <c r="G916" s="128"/>
      <c r="H916" s="129"/>
      <c r="I916" s="126"/>
      <c r="J916" s="126"/>
      <c r="K916" s="126"/>
      <c r="L916" s="126"/>
      <c r="M916" s="126"/>
      <c r="N916" s="126"/>
      <c r="O916" s="126"/>
      <c r="P916" s="126"/>
      <c r="Q916" s="126"/>
      <c r="R916" s="126"/>
      <c r="S916" s="126"/>
    </row>
    <row r="917" spans="1:21" s="125" customFormat="1" x14ac:dyDescent="0.2">
      <c r="A917" s="128" t="s">
        <v>48</v>
      </c>
      <c r="B917" s="128" t="s">
        <v>5090</v>
      </c>
      <c r="C917" s="128"/>
      <c r="D917" s="129"/>
      <c r="E917" s="128"/>
      <c r="F917" s="129"/>
      <c r="G917" s="128"/>
      <c r="H917" s="129"/>
      <c r="I917" s="128" t="s">
        <v>4846</v>
      </c>
      <c r="J917" s="129"/>
      <c r="K917" s="128"/>
      <c r="L917" s="128"/>
      <c r="M917" s="128"/>
      <c r="N917" s="128"/>
      <c r="O917" s="126"/>
      <c r="P917" s="126"/>
      <c r="Q917" s="126"/>
      <c r="R917" s="126"/>
      <c r="S917" s="126"/>
      <c r="T917" s="126"/>
      <c r="U917" s="126"/>
    </row>
    <row r="918" spans="1:21" s="125" customFormat="1" x14ac:dyDescent="0.2">
      <c r="A918" s="126"/>
      <c r="B918" s="126"/>
      <c r="C918" s="126"/>
      <c r="D918" s="127"/>
      <c r="E918" s="128"/>
      <c r="F918" s="129"/>
      <c r="G918" s="128"/>
      <c r="H918" s="129"/>
      <c r="I918" s="126"/>
      <c r="J918" s="126"/>
      <c r="K918" s="126"/>
      <c r="L918" s="126"/>
      <c r="M918" s="126"/>
      <c r="N918" s="126"/>
      <c r="O918" s="126"/>
      <c r="P918" s="126"/>
      <c r="Q918" s="126"/>
      <c r="R918" s="126"/>
      <c r="S918" s="126"/>
    </row>
    <row r="919" spans="1:21" s="125" customFormat="1" x14ac:dyDescent="0.2">
      <c r="A919" s="126"/>
      <c r="B919" s="126"/>
      <c r="C919" s="126"/>
      <c r="D919" s="127"/>
      <c r="E919" s="128"/>
      <c r="F919" s="129"/>
      <c r="G919" s="128"/>
      <c r="H919" s="129"/>
      <c r="I919" s="126"/>
      <c r="J919" s="126"/>
      <c r="K919" s="126"/>
      <c r="L919" s="126"/>
      <c r="M919" s="126"/>
      <c r="N919" s="126"/>
      <c r="O919" s="126"/>
      <c r="P919" s="126"/>
      <c r="Q919" s="126"/>
      <c r="R919" s="126"/>
      <c r="S919" s="126"/>
    </row>
    <row r="920" spans="1:21" s="125" customFormat="1" x14ac:dyDescent="0.2">
      <c r="A920" s="126"/>
      <c r="B920" s="126"/>
      <c r="C920" s="126"/>
      <c r="D920" s="127"/>
      <c r="E920" s="128"/>
      <c r="F920" s="129"/>
      <c r="G920" s="128"/>
      <c r="H920" s="129"/>
      <c r="I920" s="126"/>
      <c r="J920" s="126"/>
      <c r="K920" s="126"/>
      <c r="L920" s="126"/>
      <c r="M920" s="126"/>
      <c r="N920" s="126"/>
      <c r="O920" s="126"/>
      <c r="P920" s="126"/>
      <c r="Q920" s="126"/>
      <c r="R920" s="126"/>
      <c r="S920" s="126"/>
    </row>
    <row r="921" spans="1:21" s="125" customFormat="1" ht="18.75" x14ac:dyDescent="0.2">
      <c r="A921" s="122" t="s">
        <v>48</v>
      </c>
      <c r="B921" s="123" t="s">
        <v>5053</v>
      </c>
      <c r="C921" s="123"/>
      <c r="D921" s="124"/>
      <c r="E921" s="123"/>
      <c r="F921" s="124"/>
      <c r="G921" s="123"/>
      <c r="H921" s="124"/>
      <c r="I921" s="122"/>
      <c r="J921" s="122"/>
      <c r="K921" s="122"/>
      <c r="L921" s="122"/>
      <c r="M921" s="122"/>
      <c r="N921" s="122"/>
      <c r="O921" s="122"/>
      <c r="P921" s="122"/>
      <c r="Q921" s="122"/>
      <c r="R921" s="122"/>
      <c r="S921" s="122"/>
    </row>
    <row r="924" spans="1:21" s="105" customFormat="1" ht="18.75" x14ac:dyDescent="0.25">
      <c r="A924" s="65" t="s">
        <v>16</v>
      </c>
      <c r="B924" s="65" t="s">
        <v>5106</v>
      </c>
      <c r="C924" s="65" t="s">
        <v>5107</v>
      </c>
      <c r="D924" s="64"/>
      <c r="E924" s="65" t="s">
        <v>5108</v>
      </c>
      <c r="F924" s="64"/>
      <c r="G924" s="65" t="s">
        <v>5109</v>
      </c>
      <c r="H924" s="64"/>
      <c r="I924" s="65"/>
      <c r="J924" s="35"/>
      <c r="K924" s="35"/>
      <c r="L924" s="35"/>
      <c r="M924" s="35"/>
      <c r="N924" s="35"/>
      <c r="O924" s="35" t="s">
        <v>29</v>
      </c>
      <c r="P924" s="35"/>
      <c r="Q924" s="35"/>
      <c r="R924" s="35"/>
      <c r="S924" s="35"/>
    </row>
    <row r="926" spans="1:21" x14ac:dyDescent="0.2">
      <c r="A926" s="7" t="s">
        <v>1886</v>
      </c>
      <c r="B926" s="8" t="s">
        <v>5116</v>
      </c>
      <c r="C926" s="8" t="s">
        <v>5110</v>
      </c>
      <c r="D926" s="27" t="s">
        <v>5111</v>
      </c>
      <c r="E926" s="7" t="s">
        <v>5112</v>
      </c>
      <c r="F926" s="24" t="s">
        <v>5113</v>
      </c>
      <c r="G926" s="7" t="s">
        <v>5114</v>
      </c>
      <c r="H926" s="24" t="s">
        <v>5115</v>
      </c>
      <c r="K926" s="7" t="s">
        <v>17</v>
      </c>
    </row>
    <row r="927" spans="1:21" x14ac:dyDescent="0.2">
      <c r="A927" s="7" t="s">
        <v>1886</v>
      </c>
      <c r="B927" s="8" t="s">
        <v>5123</v>
      </c>
      <c r="C927" s="146" t="s">
        <v>5117</v>
      </c>
      <c r="D927" s="27" t="s">
        <v>5118</v>
      </c>
      <c r="E927" s="7" t="s">
        <v>5119</v>
      </c>
      <c r="F927" s="24" t="s">
        <v>5120</v>
      </c>
      <c r="G927" s="7" t="s">
        <v>5121</v>
      </c>
      <c r="H927" s="24" t="s">
        <v>5122</v>
      </c>
      <c r="K927" s="7" t="s">
        <v>17</v>
      </c>
    </row>
    <row r="928" spans="1:21" x14ac:dyDescent="0.2">
      <c r="A928" s="7" t="s">
        <v>5124</v>
      </c>
      <c r="B928" s="8" t="s">
        <v>5125</v>
      </c>
      <c r="C928" s="146" t="s">
        <v>5126</v>
      </c>
      <c r="E928" s="7" t="s">
        <v>5127</v>
      </c>
      <c r="G928" s="7" t="s">
        <v>5128</v>
      </c>
      <c r="K928" s="7" t="s">
        <v>17</v>
      </c>
    </row>
    <row r="929" spans="1:19" x14ac:dyDescent="0.2">
      <c r="A929" s="7" t="s">
        <v>5133</v>
      </c>
      <c r="B929" s="8" t="s">
        <v>5129</v>
      </c>
      <c r="C929" s="146" t="s">
        <v>5130</v>
      </c>
      <c r="E929" s="7" t="s">
        <v>5131</v>
      </c>
      <c r="G929" s="7" t="s">
        <v>5132</v>
      </c>
      <c r="K929" s="7" t="s">
        <v>17</v>
      </c>
    </row>
    <row r="930" spans="1:19" s="184" customFormat="1" ht="13.5" customHeight="1" x14ac:dyDescent="0.2">
      <c r="A930" s="179" t="s">
        <v>5142</v>
      </c>
      <c r="B930" s="180" t="s">
        <v>5140</v>
      </c>
      <c r="C930" s="181" t="s">
        <v>5134</v>
      </c>
      <c r="D930" s="182"/>
      <c r="E930" s="179" t="s">
        <v>5135</v>
      </c>
      <c r="F930" s="183"/>
      <c r="G930" s="179" t="s">
        <v>5136</v>
      </c>
      <c r="H930" s="183"/>
      <c r="I930" s="180"/>
      <c r="J930" s="180"/>
      <c r="K930" s="179" t="s">
        <v>17</v>
      </c>
      <c r="L930" s="180"/>
      <c r="M930" s="180"/>
      <c r="N930" s="180"/>
      <c r="O930" s="180" t="s">
        <v>4342</v>
      </c>
      <c r="P930" s="180"/>
      <c r="Q930" s="180"/>
      <c r="R930" s="180"/>
      <c r="S930" s="180"/>
    </row>
    <row r="931" spans="1:19" s="184" customFormat="1" x14ac:dyDescent="0.2">
      <c r="A931" s="179" t="s">
        <v>5142</v>
      </c>
      <c r="B931" s="180" t="s">
        <v>5141</v>
      </c>
      <c r="C931" s="180" t="s">
        <v>5137</v>
      </c>
      <c r="D931" s="182"/>
      <c r="E931" s="179" t="s">
        <v>5138</v>
      </c>
      <c r="F931" s="183"/>
      <c r="G931" s="183" t="s">
        <v>5139</v>
      </c>
      <c r="H931" s="183"/>
      <c r="I931" s="180"/>
      <c r="J931" s="180"/>
      <c r="K931" s="179" t="s">
        <v>17</v>
      </c>
      <c r="L931" s="180"/>
      <c r="M931" s="180"/>
      <c r="N931" s="180"/>
      <c r="O931" s="180" t="s">
        <v>4342</v>
      </c>
      <c r="P931" s="180"/>
      <c r="Q931" s="180"/>
      <c r="R931" s="180"/>
      <c r="S931" s="180"/>
    </row>
    <row r="932" spans="1:19" x14ac:dyDescent="0.2">
      <c r="A932" s="7" t="s">
        <v>2202</v>
      </c>
      <c r="B932" s="8" t="s">
        <v>5146</v>
      </c>
      <c r="C932" s="8" t="s">
        <v>5143</v>
      </c>
      <c r="E932" s="7" t="s">
        <v>5144</v>
      </c>
      <c r="G932" s="24" t="s">
        <v>5145</v>
      </c>
      <c r="K932" s="7" t="s">
        <v>17</v>
      </c>
    </row>
    <row r="933" spans="1:19" ht="13.5" customHeight="1" x14ac:dyDescent="0.2">
      <c r="A933" s="7" t="s">
        <v>5162</v>
      </c>
      <c r="B933" s="8" t="s">
        <v>5147</v>
      </c>
      <c r="C933" s="8" t="s">
        <v>5156</v>
      </c>
      <c r="D933" s="27" t="s">
        <v>5157</v>
      </c>
      <c r="E933" s="7" t="s">
        <v>5158</v>
      </c>
      <c r="F933" s="24" t="s">
        <v>5159</v>
      </c>
      <c r="G933" s="7" t="s">
        <v>5160</v>
      </c>
      <c r="H933" s="24" t="s">
        <v>5161</v>
      </c>
      <c r="K933" s="7" t="s">
        <v>17</v>
      </c>
      <c r="O933" s="128" t="str">
        <f>"${"&amp;B932&amp;"}=1"</f>
        <v>${tr7}=1</v>
      </c>
    </row>
    <row r="934" spans="1:19" ht="15" x14ac:dyDescent="0.25">
      <c r="A934" s="7" t="s">
        <v>26</v>
      </c>
      <c r="B934" s="7" t="str">
        <f>B933&amp;"x"</f>
        <v>tr8x</v>
      </c>
      <c r="C934" s="7" t="s">
        <v>913</v>
      </c>
      <c r="D934"/>
      <c r="E934" s="7" t="s">
        <v>952</v>
      </c>
      <c r="F934"/>
      <c r="G934" s="7" t="s">
        <v>1816</v>
      </c>
      <c r="H934"/>
      <c r="I934" s="63"/>
      <c r="J934" s="7"/>
      <c r="K934" s="7" t="s">
        <v>17</v>
      </c>
      <c r="O934" s="8" t="str">
        <f>"selected(${"&amp;B933&amp;"},'96')"</f>
        <v>selected(${tr8},'96')</v>
      </c>
    </row>
    <row r="935" spans="1:19" x14ac:dyDescent="0.2">
      <c r="A935" s="7" t="s">
        <v>5154</v>
      </c>
      <c r="B935" s="8" t="s">
        <v>5148</v>
      </c>
      <c r="C935" s="8" t="s">
        <v>5163</v>
      </c>
      <c r="E935" s="7" t="s">
        <v>5164</v>
      </c>
      <c r="G935" s="7" t="s">
        <v>5165</v>
      </c>
      <c r="K935" s="7" t="s">
        <v>17</v>
      </c>
    </row>
    <row r="936" spans="1:19" x14ac:dyDescent="0.2">
      <c r="A936" s="7" t="s">
        <v>5170</v>
      </c>
      <c r="B936" s="8" t="s">
        <v>5149</v>
      </c>
      <c r="C936" s="8" t="s">
        <v>5166</v>
      </c>
      <c r="D936" s="27" t="s">
        <v>5167</v>
      </c>
      <c r="E936" s="7" t="s">
        <v>5168</v>
      </c>
      <c r="F936" s="24" t="s">
        <v>5159</v>
      </c>
      <c r="G936" s="7" t="s">
        <v>5169</v>
      </c>
      <c r="H936" s="24" t="s">
        <v>5161</v>
      </c>
      <c r="K936" s="7" t="s">
        <v>17</v>
      </c>
      <c r="O936" s="128" t="s">
        <v>5717</v>
      </c>
    </row>
    <row r="937" spans="1:19" ht="15" x14ac:dyDescent="0.25">
      <c r="A937" s="7" t="s">
        <v>26</v>
      </c>
      <c r="B937" s="7" t="str">
        <f>B936&amp;"x"</f>
        <v>tr10x</v>
      </c>
      <c r="C937" s="7" t="s">
        <v>913</v>
      </c>
      <c r="D937"/>
      <c r="E937" s="7" t="s">
        <v>952</v>
      </c>
      <c r="F937"/>
      <c r="G937" s="7" t="s">
        <v>1816</v>
      </c>
      <c r="H937"/>
      <c r="I937" s="63"/>
      <c r="J937" s="7"/>
      <c r="K937" s="7" t="s">
        <v>17</v>
      </c>
      <c r="O937" s="8" t="str">
        <f>"selected(${"&amp;B936&amp;"},'96')"</f>
        <v>selected(${tr10},'96')</v>
      </c>
    </row>
    <row r="938" spans="1:19" s="184" customFormat="1" x14ac:dyDescent="0.2">
      <c r="A938" s="179" t="s">
        <v>1886</v>
      </c>
      <c r="B938" s="180" t="s">
        <v>5150</v>
      </c>
      <c r="C938" s="181" t="s">
        <v>5171</v>
      </c>
      <c r="D938" s="182"/>
      <c r="E938" s="179" t="s">
        <v>5172</v>
      </c>
      <c r="F938" s="183"/>
      <c r="G938" s="179" t="s">
        <v>5173</v>
      </c>
      <c r="H938" s="183"/>
      <c r="I938" s="180"/>
      <c r="J938" s="180"/>
      <c r="K938" s="179" t="s">
        <v>17</v>
      </c>
      <c r="L938" s="180"/>
      <c r="M938" s="180"/>
      <c r="N938" s="180"/>
      <c r="O938" s="180" t="s">
        <v>4342</v>
      </c>
      <c r="P938" s="180"/>
      <c r="Q938" s="180"/>
      <c r="R938" s="180"/>
      <c r="S938" s="180"/>
    </row>
    <row r="939" spans="1:19" x14ac:dyDescent="0.2">
      <c r="A939" s="7" t="s">
        <v>5155</v>
      </c>
      <c r="B939" s="8" t="s">
        <v>5151</v>
      </c>
      <c r="C939" s="8" t="s">
        <v>5174</v>
      </c>
      <c r="E939" s="7" t="s">
        <v>5175</v>
      </c>
      <c r="G939" s="7" t="s">
        <v>5176</v>
      </c>
      <c r="K939" s="7" t="s">
        <v>17</v>
      </c>
    </row>
    <row r="940" spans="1:19" x14ac:dyDescent="0.2">
      <c r="A940" s="7" t="s">
        <v>5183</v>
      </c>
      <c r="B940" s="8" t="s">
        <v>5152</v>
      </c>
      <c r="C940" s="8" t="s">
        <v>5177</v>
      </c>
      <c r="D940" s="27" t="s">
        <v>5178</v>
      </c>
      <c r="E940" s="7" t="s">
        <v>5179</v>
      </c>
      <c r="F940" s="24" t="s">
        <v>5180</v>
      </c>
      <c r="G940" s="7" t="s">
        <v>5181</v>
      </c>
      <c r="H940" s="24" t="s">
        <v>5182</v>
      </c>
      <c r="K940" s="7" t="s">
        <v>17</v>
      </c>
    </row>
    <row r="941" spans="1:19" ht="15" x14ac:dyDescent="0.25">
      <c r="A941" s="7" t="s">
        <v>26</v>
      </c>
      <c r="B941" s="7" t="str">
        <f>B940&amp;"x"</f>
        <v>tr13x</v>
      </c>
      <c r="C941" s="7" t="s">
        <v>913</v>
      </c>
      <c r="D941"/>
      <c r="E941" s="7" t="s">
        <v>952</v>
      </c>
      <c r="F941"/>
      <c r="G941" s="7" t="s">
        <v>1816</v>
      </c>
      <c r="H941"/>
      <c r="I941" s="63"/>
      <c r="J941" s="7"/>
      <c r="K941" s="7" t="s">
        <v>17</v>
      </c>
      <c r="O941" s="8" t="str">
        <f>"selected(${"&amp;B940&amp;"},'96')"</f>
        <v>selected(${tr13},'96')</v>
      </c>
    </row>
    <row r="942" spans="1:19" x14ac:dyDescent="0.2">
      <c r="A942" s="7" t="s">
        <v>1886</v>
      </c>
      <c r="B942" s="8" t="s">
        <v>5153</v>
      </c>
      <c r="C942" s="8" t="s">
        <v>5184</v>
      </c>
      <c r="E942" s="7" t="s">
        <v>5185</v>
      </c>
      <c r="G942" s="7" t="s">
        <v>5186</v>
      </c>
      <c r="K942" s="7" t="s">
        <v>17</v>
      </c>
    </row>
    <row r="943" spans="1:19" x14ac:dyDescent="0.2">
      <c r="A943" s="7" t="s">
        <v>5191</v>
      </c>
      <c r="B943" s="8" t="s">
        <v>5190</v>
      </c>
      <c r="C943" s="8" t="s">
        <v>5187</v>
      </c>
      <c r="E943" s="7" t="s">
        <v>5188</v>
      </c>
      <c r="G943" s="7" t="s">
        <v>5189</v>
      </c>
      <c r="K943" s="7" t="s">
        <v>17</v>
      </c>
    </row>
    <row r="944" spans="1:19" s="125" customFormat="1" ht="15" x14ac:dyDescent="0.25">
      <c r="A944" s="128" t="s">
        <v>26</v>
      </c>
      <c r="B944" s="128" t="str">
        <f>B943&amp;"x"</f>
        <v>tr15x</v>
      </c>
      <c r="C944" s="128" t="s">
        <v>4868</v>
      </c>
      <c r="D944" s="130"/>
      <c r="E944" s="128" t="s">
        <v>4869</v>
      </c>
      <c r="F944" s="130"/>
      <c r="G944" s="128" t="s">
        <v>4870</v>
      </c>
      <c r="H944" s="130"/>
      <c r="I944" s="132"/>
      <c r="J944" s="128"/>
      <c r="K944" s="128" t="s">
        <v>17</v>
      </c>
      <c r="L944" s="126"/>
      <c r="M944" s="126"/>
      <c r="N944" s="126"/>
      <c r="O944" s="128" t="str">
        <f>"${"&amp;B943&amp;"}=96"</f>
        <v>${tr15}=96</v>
      </c>
      <c r="P944" s="126"/>
      <c r="Q944" s="126"/>
      <c r="R944" s="126"/>
      <c r="S944" s="126"/>
    </row>
    <row r="945" spans="1:19" x14ac:dyDescent="0.2">
      <c r="A945" s="7" t="s">
        <v>5193</v>
      </c>
      <c r="B945" s="8" t="s">
        <v>5192</v>
      </c>
      <c r="C945" s="8" t="s">
        <v>5194</v>
      </c>
      <c r="D945" s="27" t="s">
        <v>5195</v>
      </c>
      <c r="E945" s="7" t="s">
        <v>5196</v>
      </c>
      <c r="F945" s="24" t="s">
        <v>5197</v>
      </c>
      <c r="G945" s="7" t="s">
        <v>5198</v>
      </c>
      <c r="H945" s="24" t="s">
        <v>5199</v>
      </c>
      <c r="K945" s="7" t="s">
        <v>17</v>
      </c>
    </row>
    <row r="946" spans="1:19" ht="15" x14ac:dyDescent="0.25">
      <c r="A946" s="7" t="s">
        <v>26</v>
      </c>
      <c r="B946" s="7" t="str">
        <f>B945&amp;"x"</f>
        <v>tr16x</v>
      </c>
      <c r="C946" s="7" t="s">
        <v>913</v>
      </c>
      <c r="D946"/>
      <c r="E946" s="7" t="s">
        <v>952</v>
      </c>
      <c r="F946"/>
      <c r="G946" s="7" t="s">
        <v>1816</v>
      </c>
      <c r="H946"/>
      <c r="I946" s="63"/>
      <c r="J946" s="7"/>
      <c r="K946" s="7" t="s">
        <v>17</v>
      </c>
      <c r="O946" s="8" t="str">
        <f>"selected(${"&amp;B945&amp;"},'96')"</f>
        <v>selected(${tr16},'96')</v>
      </c>
    </row>
    <row r="947" spans="1:19" x14ac:dyDescent="0.2">
      <c r="A947" s="7" t="s">
        <v>5201</v>
      </c>
      <c r="B947" s="8" t="s">
        <v>5200</v>
      </c>
      <c r="C947" s="8" t="s">
        <v>5202</v>
      </c>
      <c r="D947" s="27" t="s">
        <v>5203</v>
      </c>
      <c r="E947" s="7" t="s">
        <v>5204</v>
      </c>
      <c r="F947" s="24" t="s">
        <v>5205</v>
      </c>
      <c r="G947" s="7" t="s">
        <v>5206</v>
      </c>
      <c r="H947" s="24" t="s">
        <v>5207</v>
      </c>
      <c r="J947" s="8" t="s">
        <v>54</v>
      </c>
      <c r="K947" s="7" t="s">
        <v>17</v>
      </c>
    </row>
    <row r="948" spans="1:19" ht="15" x14ac:dyDescent="0.25">
      <c r="A948" s="7" t="s">
        <v>26</v>
      </c>
      <c r="B948" s="7" t="str">
        <f>B947&amp;"x"</f>
        <v>tr17x</v>
      </c>
      <c r="C948" s="7" t="s">
        <v>913</v>
      </c>
      <c r="D948"/>
      <c r="E948" s="7" t="s">
        <v>952</v>
      </c>
      <c r="F948"/>
      <c r="G948" s="7" t="s">
        <v>1816</v>
      </c>
      <c r="H948"/>
      <c r="I948" s="63"/>
      <c r="J948" s="7"/>
      <c r="K948" s="7" t="s">
        <v>17</v>
      </c>
      <c r="O948" s="8" t="str">
        <f>"selected(${"&amp;B947&amp;"},'96')"</f>
        <v>selected(${tr17},'96')</v>
      </c>
    </row>
    <row r="949" spans="1:19" x14ac:dyDescent="0.2">
      <c r="A949" s="7" t="s">
        <v>5209</v>
      </c>
      <c r="B949" s="8" t="s">
        <v>5208</v>
      </c>
      <c r="C949" s="8" t="s">
        <v>5210</v>
      </c>
      <c r="D949" s="27" t="s">
        <v>5211</v>
      </c>
      <c r="E949" s="7" t="s">
        <v>5212</v>
      </c>
      <c r="F949" s="24" t="s">
        <v>5213</v>
      </c>
      <c r="G949" s="7" t="s">
        <v>5214</v>
      </c>
      <c r="H949" s="24" t="s">
        <v>5215</v>
      </c>
      <c r="J949" s="8" t="s">
        <v>54</v>
      </c>
      <c r="K949" s="7" t="s">
        <v>17</v>
      </c>
    </row>
    <row r="950" spans="1:19" ht="15" x14ac:dyDescent="0.25">
      <c r="A950" s="7" t="s">
        <v>26</v>
      </c>
      <c r="B950" s="7" t="str">
        <f>B949&amp;"x"</f>
        <v>tr18x</v>
      </c>
      <c r="C950" s="7" t="s">
        <v>913</v>
      </c>
      <c r="D950"/>
      <c r="E950" s="7" t="s">
        <v>952</v>
      </c>
      <c r="F950"/>
      <c r="G950" s="7" t="s">
        <v>1816</v>
      </c>
      <c r="H950"/>
      <c r="I950" s="63"/>
      <c r="J950" s="7"/>
      <c r="K950" s="7" t="s">
        <v>17</v>
      </c>
      <c r="O950" s="8" t="str">
        <f>"selected(${"&amp;B949&amp;"},'96')"</f>
        <v>selected(${tr18},'96')</v>
      </c>
    </row>
    <row r="951" spans="1:19" ht="15" x14ac:dyDescent="0.25">
      <c r="A951" s="7" t="s">
        <v>5765</v>
      </c>
      <c r="B951" s="7" t="s">
        <v>5764</v>
      </c>
      <c r="C951" s="7" t="s">
        <v>5758</v>
      </c>
      <c r="D951" t="s">
        <v>5759</v>
      </c>
      <c r="E951" s="7" t="s">
        <v>5760</v>
      </c>
      <c r="F951" s="7" t="s">
        <v>5761</v>
      </c>
      <c r="G951" s="7" t="s">
        <v>5762</v>
      </c>
      <c r="H951" s="7" t="s">
        <v>5763</v>
      </c>
      <c r="I951" s="63"/>
      <c r="J951" s="7"/>
      <c r="K951" s="7" t="s">
        <v>17</v>
      </c>
    </row>
    <row r="952" spans="1:19" s="125" customFormat="1" ht="15" x14ac:dyDescent="0.25">
      <c r="A952" s="128" t="s">
        <v>26</v>
      </c>
      <c r="B952" s="128" t="str">
        <f>B951&amp;"x"</f>
        <v>tr19x</v>
      </c>
      <c r="C952" s="128" t="s">
        <v>4868</v>
      </c>
      <c r="D952" s="130"/>
      <c r="E952" s="128" t="s">
        <v>4869</v>
      </c>
      <c r="F952" s="130"/>
      <c r="G952" s="128" t="s">
        <v>4870</v>
      </c>
      <c r="H952" s="130"/>
      <c r="I952" s="132"/>
      <c r="J952" s="128"/>
      <c r="K952" s="128" t="s">
        <v>17</v>
      </c>
      <c r="L952" s="126"/>
      <c r="M952" s="126"/>
      <c r="N952" s="126"/>
      <c r="O952" s="128" t="str">
        <f>"${"&amp;B951&amp;"}=96"</f>
        <v>${tr19}=96</v>
      </c>
      <c r="P952" s="126"/>
      <c r="Q952" s="126"/>
      <c r="R952" s="126"/>
      <c r="S952" s="126"/>
    </row>
    <row r="953" spans="1:19" ht="15" x14ac:dyDescent="0.25">
      <c r="A953" s="7" t="s">
        <v>1886</v>
      </c>
      <c r="B953" s="7" t="s">
        <v>5769</v>
      </c>
      <c r="C953" s="7" t="s">
        <v>5766</v>
      </c>
      <c r="D953"/>
      <c r="E953" s="7" t="s">
        <v>5767</v>
      </c>
      <c r="F953"/>
      <c r="G953" s="7" t="s">
        <v>5768</v>
      </c>
      <c r="H953"/>
      <c r="I953" s="63"/>
      <c r="J953" s="7"/>
      <c r="K953" s="7" t="s">
        <v>17</v>
      </c>
    </row>
    <row r="954" spans="1:19" ht="15" x14ac:dyDescent="0.25">
      <c r="A954" s="7" t="s">
        <v>5530</v>
      </c>
      <c r="B954" s="7" t="s">
        <v>5772</v>
      </c>
      <c r="C954" s="7" t="s">
        <v>5770</v>
      </c>
      <c r="D954"/>
      <c r="E954" s="7" t="s">
        <v>5771</v>
      </c>
      <c r="G954" t="s">
        <v>5831</v>
      </c>
      <c r="H954"/>
      <c r="I954" s="63"/>
      <c r="J954" s="7"/>
      <c r="K954" s="7" t="s">
        <v>17</v>
      </c>
    </row>
    <row r="955" spans="1:19" ht="15" x14ac:dyDescent="0.25">
      <c r="A955" s="7" t="s">
        <v>5780</v>
      </c>
      <c r="B955" s="7" t="s">
        <v>5779</v>
      </c>
      <c r="C955" s="7" t="s">
        <v>5773</v>
      </c>
      <c r="D955" t="s">
        <v>5774</v>
      </c>
      <c r="E955" s="7" t="s">
        <v>5775</v>
      </c>
      <c r="F955" t="s">
        <v>5776</v>
      </c>
      <c r="G955" s="7" t="s">
        <v>5777</v>
      </c>
      <c r="H955" t="s">
        <v>5778</v>
      </c>
      <c r="I955" s="63"/>
      <c r="J955" s="7"/>
      <c r="K955" s="7" t="s">
        <v>17</v>
      </c>
    </row>
    <row r="956" spans="1:19" s="125" customFormat="1" ht="15" x14ac:dyDescent="0.25">
      <c r="A956" s="128" t="s">
        <v>26</v>
      </c>
      <c r="B956" s="128" t="str">
        <f>B955&amp;"x"</f>
        <v>tr22x</v>
      </c>
      <c r="C956" s="128" t="s">
        <v>4868</v>
      </c>
      <c r="D956" s="130"/>
      <c r="E956" s="128" t="s">
        <v>4869</v>
      </c>
      <c r="F956" s="130"/>
      <c r="G956" s="128" t="s">
        <v>4870</v>
      </c>
      <c r="H956" s="130"/>
      <c r="I956" s="132"/>
      <c r="J956" s="128"/>
      <c r="K956" s="128" t="s">
        <v>17</v>
      </c>
      <c r="L956" s="126"/>
      <c r="M956" s="126"/>
      <c r="N956" s="126"/>
      <c r="O956" s="128" t="str">
        <f>"${"&amp;B955&amp;"}=96"</f>
        <v>${tr22}=96</v>
      </c>
      <c r="P956" s="126"/>
      <c r="Q956" s="126"/>
      <c r="R956" s="126"/>
      <c r="S956" s="126"/>
    </row>
    <row r="957" spans="1:19" ht="15" x14ac:dyDescent="0.25">
      <c r="A957" s="7" t="s">
        <v>5530</v>
      </c>
      <c r="B957" s="7" t="s">
        <v>5784</v>
      </c>
      <c r="C957" s="7" t="s">
        <v>5781</v>
      </c>
      <c r="D957"/>
      <c r="E957" s="7" t="s">
        <v>5782</v>
      </c>
      <c r="F957"/>
      <c r="G957" s="7" t="s">
        <v>5783</v>
      </c>
      <c r="H957"/>
      <c r="I957" s="63"/>
      <c r="J957" s="7"/>
      <c r="K957" s="7" t="s">
        <v>17</v>
      </c>
    </row>
    <row r="958" spans="1:19" ht="15" x14ac:dyDescent="0.25">
      <c r="A958" s="7" t="s">
        <v>5530</v>
      </c>
      <c r="B958" s="7" t="s">
        <v>5785</v>
      </c>
      <c r="C958" s="7" t="s">
        <v>5786</v>
      </c>
      <c r="D958"/>
      <c r="E958" s="7" t="s">
        <v>5787</v>
      </c>
      <c r="F958"/>
      <c r="G958" s="7" t="s">
        <v>5788</v>
      </c>
      <c r="H958"/>
      <c r="I958" s="63"/>
      <c r="J958" s="7"/>
      <c r="K958" s="7" t="s">
        <v>17</v>
      </c>
    </row>
    <row r="959" spans="1:19" ht="15" x14ac:dyDescent="0.25">
      <c r="A959" s="7"/>
      <c r="B959" s="7"/>
      <c r="C959" s="7"/>
      <c r="D959"/>
      <c r="F959"/>
      <c r="H959"/>
      <c r="I959" s="63"/>
      <c r="J959" s="7"/>
      <c r="K959" s="7"/>
    </row>
    <row r="960" spans="1:19" ht="15" x14ac:dyDescent="0.25">
      <c r="A960" s="7"/>
      <c r="B960" s="7"/>
      <c r="C960" s="7"/>
      <c r="D960"/>
      <c r="F960"/>
      <c r="H960"/>
      <c r="I960" s="63"/>
      <c r="J960" s="7"/>
      <c r="K960" s="7"/>
    </row>
    <row r="961" spans="1:19" ht="18.75" x14ac:dyDescent="0.2">
      <c r="A961" s="35" t="s">
        <v>48</v>
      </c>
      <c r="B961" s="65" t="s">
        <v>5106</v>
      </c>
      <c r="C961" s="35"/>
      <c r="D961" s="83"/>
      <c r="E961" s="65"/>
      <c r="F961" s="64"/>
      <c r="G961" s="65"/>
      <c r="H961" s="64"/>
      <c r="I961" s="35"/>
      <c r="J961" s="35"/>
      <c r="K961" s="35"/>
      <c r="L961" s="35"/>
      <c r="M961" s="35"/>
      <c r="N961" s="35"/>
      <c r="O961" s="35"/>
      <c r="P961" s="35"/>
      <c r="Q961" s="35"/>
      <c r="R961" s="35"/>
      <c r="S961" s="35"/>
    </row>
    <row r="964" spans="1:19" s="197" customFormat="1" ht="15" x14ac:dyDescent="0.25">
      <c r="A964" s="196" t="s">
        <v>16</v>
      </c>
      <c r="B964" s="196" t="s">
        <v>5431</v>
      </c>
      <c r="C964" s="196" t="s">
        <v>5432</v>
      </c>
      <c r="D964" s="196"/>
      <c r="E964" s="196" t="s">
        <v>5433</v>
      </c>
      <c r="F964" s="196"/>
      <c r="G964" s="196" t="s">
        <v>5433</v>
      </c>
      <c r="H964" s="196"/>
      <c r="I964" s="196"/>
      <c r="O964" s="197" t="s">
        <v>29</v>
      </c>
    </row>
    <row r="965" spans="1:19" s="190" customFormat="1" ht="15" x14ac:dyDescent="0.25">
      <c r="A965" s="190" t="s">
        <v>21</v>
      </c>
      <c r="B965" s="190" t="s">
        <v>5499</v>
      </c>
      <c r="C965" s="190" t="s">
        <v>5434</v>
      </c>
      <c r="M965" s="190" t="s">
        <v>5497</v>
      </c>
    </row>
    <row r="966" spans="1:19" s="190" customFormat="1" ht="15" x14ac:dyDescent="0.25">
      <c r="A966" s="190" t="s">
        <v>21</v>
      </c>
      <c r="B966" s="190" t="s">
        <v>5498</v>
      </c>
      <c r="C966" s="190" t="s">
        <v>5434</v>
      </c>
      <c r="M966" s="190" t="s">
        <v>5756</v>
      </c>
    </row>
    <row r="967" spans="1:19" s="190" customFormat="1" ht="15" x14ac:dyDescent="0.25">
      <c r="A967" s="190" t="s">
        <v>22</v>
      </c>
      <c r="B967" s="190" t="s">
        <v>5500</v>
      </c>
      <c r="C967" s="190" t="s">
        <v>5827</v>
      </c>
      <c r="E967" s="190" t="s">
        <v>5825</v>
      </c>
      <c r="G967" s="190" t="s">
        <v>5829</v>
      </c>
      <c r="O967" s="190" t="s">
        <v>5502</v>
      </c>
    </row>
    <row r="968" spans="1:19" s="190" customFormat="1" ht="15" x14ac:dyDescent="0.25">
      <c r="A968" s="190" t="s">
        <v>22</v>
      </c>
      <c r="B968" s="190" t="s">
        <v>5501</v>
      </c>
      <c r="C968" s="190" t="s">
        <v>5828</v>
      </c>
      <c r="E968" s="190" t="s">
        <v>5826</v>
      </c>
      <c r="G968" s="190" t="s">
        <v>5830</v>
      </c>
      <c r="O968" s="190" t="s">
        <v>5503</v>
      </c>
    </row>
    <row r="969" spans="1:19" s="190" customFormat="1" ht="15" x14ac:dyDescent="0.25">
      <c r="A969" s="187" t="s">
        <v>5508</v>
      </c>
      <c r="B969" s="190" t="s">
        <v>5507</v>
      </c>
      <c r="C969" s="190" t="s">
        <v>5504</v>
      </c>
      <c r="E969" s="190" t="s">
        <v>5505</v>
      </c>
      <c r="G969" s="190" t="s">
        <v>5506</v>
      </c>
      <c r="K969" s="187" t="s">
        <v>17</v>
      </c>
    </row>
    <row r="970" spans="1:19" s="190" customFormat="1" ht="15" x14ac:dyDescent="0.25">
      <c r="A970" s="187" t="s">
        <v>5657</v>
      </c>
      <c r="B970" s="190" t="s">
        <v>5515</v>
      </c>
      <c r="C970" s="190" t="s">
        <v>5509</v>
      </c>
      <c r="D970" s="190" t="s">
        <v>5510</v>
      </c>
      <c r="E970" s="190" t="s">
        <v>5511</v>
      </c>
      <c r="F970" s="190" t="s">
        <v>5512</v>
      </c>
      <c r="G970" s="190" t="s">
        <v>5513</v>
      </c>
      <c r="H970" s="190" t="s">
        <v>5514</v>
      </c>
      <c r="I970" s="186"/>
      <c r="K970" s="187" t="s">
        <v>17</v>
      </c>
      <c r="O970" s="187" t="s">
        <v>5654</v>
      </c>
    </row>
    <row r="971" spans="1:19" s="189" customFormat="1" ht="15" x14ac:dyDescent="0.25">
      <c r="A971" s="187" t="s">
        <v>26</v>
      </c>
      <c r="B971" s="187" t="str">
        <f>B970&amp;"x"</f>
        <v>xp14a_questionx</v>
      </c>
      <c r="C971" s="187" t="s">
        <v>913</v>
      </c>
      <c r="D971" s="190"/>
      <c r="E971" s="187" t="s">
        <v>952</v>
      </c>
      <c r="F971" s="190"/>
      <c r="G971" s="187" t="s">
        <v>1816</v>
      </c>
      <c r="H971" s="190"/>
      <c r="I971" s="191"/>
      <c r="J971" s="187"/>
      <c r="K971" s="187" t="s">
        <v>17</v>
      </c>
      <c r="L971" s="186"/>
      <c r="M971" s="186"/>
      <c r="N971" s="186"/>
      <c r="O971" s="186" t="str">
        <f>"selected(${"&amp;B970&amp;"},'96')"</f>
        <v>selected(${xp14a_question},'96')</v>
      </c>
      <c r="P971" s="186"/>
      <c r="Q971" s="186"/>
      <c r="R971" s="186"/>
      <c r="S971" s="186"/>
    </row>
    <row r="972" spans="1:19" s="190" customFormat="1" ht="15" x14ac:dyDescent="0.25">
      <c r="A972" s="187" t="s">
        <v>5656</v>
      </c>
      <c r="B972" s="190" t="s">
        <v>5516</v>
      </c>
      <c r="C972" s="190" t="s">
        <v>5517</v>
      </c>
      <c r="D972" s="190" t="s">
        <v>5510</v>
      </c>
      <c r="E972" s="190" t="s">
        <v>5518</v>
      </c>
      <c r="F972" s="190" t="s">
        <v>5512</v>
      </c>
      <c r="G972" s="190" t="s">
        <v>5746</v>
      </c>
      <c r="H972" s="190" t="s">
        <v>5514</v>
      </c>
      <c r="I972" s="186"/>
      <c r="K972" s="187" t="s">
        <v>17</v>
      </c>
      <c r="O972" s="187" t="s">
        <v>5655</v>
      </c>
    </row>
    <row r="973" spans="1:19" s="189" customFormat="1" ht="15" x14ac:dyDescent="0.25">
      <c r="A973" s="187" t="s">
        <v>26</v>
      </c>
      <c r="B973" s="187" t="str">
        <f>B972&amp;"x"</f>
        <v>xp14b_questionx</v>
      </c>
      <c r="C973" s="187" t="s">
        <v>913</v>
      </c>
      <c r="D973" s="190"/>
      <c r="E973" s="187" t="s">
        <v>952</v>
      </c>
      <c r="F973" s="190"/>
      <c r="G973" s="187" t="s">
        <v>1816</v>
      </c>
      <c r="H973" s="190"/>
      <c r="I973" s="191"/>
      <c r="J973" s="187"/>
      <c r="K973" s="187" t="s">
        <v>17</v>
      </c>
      <c r="L973" s="186"/>
      <c r="M973" s="186"/>
      <c r="N973" s="186"/>
      <c r="O973" s="186" t="str">
        <f>"selected(${"&amp;B972&amp;"},'96')"</f>
        <v>selected(${xp14b_question},'96')</v>
      </c>
      <c r="P973" s="186"/>
      <c r="Q973" s="186"/>
      <c r="R973" s="186"/>
      <c r="S973" s="186"/>
    </row>
    <row r="974" spans="1:19" s="190" customFormat="1" ht="15" x14ac:dyDescent="0.25">
      <c r="A974" s="190" t="s">
        <v>21</v>
      </c>
      <c r="B974" s="190" t="s">
        <v>5519</v>
      </c>
      <c r="C974" s="190" t="s">
        <v>5434</v>
      </c>
      <c r="M974" s="190" t="s">
        <v>5497</v>
      </c>
    </row>
    <row r="975" spans="1:19" s="190" customFormat="1" ht="15" x14ac:dyDescent="0.25">
      <c r="A975" s="190" t="s">
        <v>21</v>
      </c>
      <c r="B975" s="190" t="s">
        <v>5524</v>
      </c>
      <c r="C975" s="190" t="s">
        <v>5434</v>
      </c>
      <c r="M975" s="190" t="s">
        <v>6327</v>
      </c>
    </row>
    <row r="976" spans="1:19" s="190" customFormat="1" ht="15" x14ac:dyDescent="0.25"/>
    <row r="977" spans="1:21" s="190" customFormat="1" ht="15" x14ac:dyDescent="0.25">
      <c r="A977" s="190" t="s">
        <v>5521</v>
      </c>
      <c r="B977" s="190" t="s">
        <v>5520</v>
      </c>
      <c r="C977" s="192" t="s">
        <v>5520</v>
      </c>
      <c r="O977" s="185"/>
    </row>
    <row r="978" spans="1:21" s="190" customFormat="1" ht="15" x14ac:dyDescent="0.25">
      <c r="A978" s="190" t="s">
        <v>21</v>
      </c>
      <c r="B978" s="190" t="s">
        <v>5523</v>
      </c>
      <c r="M978" s="190" t="s">
        <v>5525</v>
      </c>
      <c r="O978" s="185"/>
    </row>
    <row r="979" spans="1:21" s="190" customFormat="1" ht="15" x14ac:dyDescent="0.25">
      <c r="A979" s="190" t="s">
        <v>22</v>
      </c>
      <c r="B979" s="190" t="s">
        <v>5741</v>
      </c>
      <c r="C979" s="190" t="s">
        <v>5743</v>
      </c>
      <c r="E979" s="190" t="s">
        <v>5744</v>
      </c>
      <c r="G979" s="190" t="s">
        <v>5742</v>
      </c>
      <c r="O979" s="185"/>
    </row>
    <row r="980" spans="1:21" s="190" customFormat="1" ht="15" x14ac:dyDescent="0.25">
      <c r="A980" s="190" t="s">
        <v>5527</v>
      </c>
      <c r="B980" s="190" t="s">
        <v>5526</v>
      </c>
      <c r="C980" s="190" t="s">
        <v>5747</v>
      </c>
      <c r="E980" s="190" t="s">
        <v>5748</v>
      </c>
      <c r="G980" s="190" t="s">
        <v>5749</v>
      </c>
      <c r="K980" s="187" t="s">
        <v>17</v>
      </c>
      <c r="O980" s="185"/>
    </row>
    <row r="981" spans="1:21" s="190" customFormat="1" ht="15" x14ac:dyDescent="0.25">
      <c r="A981" s="190" t="s">
        <v>5527</v>
      </c>
      <c r="B981" s="190" t="s">
        <v>5528</v>
      </c>
      <c r="C981" s="190" t="s">
        <v>5750</v>
      </c>
      <c r="E981" s="190" t="s">
        <v>5751</v>
      </c>
      <c r="G981" s="190" t="s">
        <v>5752</v>
      </c>
      <c r="K981" s="187" t="s">
        <v>17</v>
      </c>
      <c r="O981" s="185"/>
    </row>
    <row r="982" spans="1:21" s="190" customFormat="1" ht="15" x14ac:dyDescent="0.25">
      <c r="A982" s="190" t="s">
        <v>5527</v>
      </c>
      <c r="B982" s="190" t="s">
        <v>5529</v>
      </c>
      <c r="C982" s="190" t="s">
        <v>5753</v>
      </c>
      <c r="E982" s="190" t="s">
        <v>5754</v>
      </c>
      <c r="G982" s="190" t="s">
        <v>5755</v>
      </c>
      <c r="K982" s="187" t="s">
        <v>17</v>
      </c>
      <c r="O982" s="185"/>
    </row>
    <row r="983" spans="1:21" s="190" customFormat="1" ht="15" x14ac:dyDescent="0.25">
      <c r="A983" s="190" t="s">
        <v>5530</v>
      </c>
      <c r="B983" s="190" t="s">
        <v>5531</v>
      </c>
      <c r="C983" s="190" t="s">
        <v>5532</v>
      </c>
      <c r="E983" s="190" t="s">
        <v>5533</v>
      </c>
      <c r="G983" s="190" t="s">
        <v>5534</v>
      </c>
      <c r="K983" s="187" t="s">
        <v>17</v>
      </c>
      <c r="O983" s="185"/>
    </row>
    <row r="984" spans="1:21" s="190" customFormat="1" ht="15" x14ac:dyDescent="0.25">
      <c r="A984" s="190" t="s">
        <v>5530</v>
      </c>
      <c r="B984" s="190" t="s">
        <v>5538</v>
      </c>
      <c r="C984" s="190" t="s">
        <v>5535</v>
      </c>
      <c r="E984" s="190" t="s">
        <v>5536</v>
      </c>
      <c r="G984" s="190" t="s">
        <v>5537</v>
      </c>
      <c r="K984" s="187" t="s">
        <v>17</v>
      </c>
      <c r="O984" s="185"/>
    </row>
    <row r="985" spans="1:21" s="190" customFormat="1" ht="15" x14ac:dyDescent="0.25"/>
    <row r="986" spans="1:21" s="190" customFormat="1" ht="15" x14ac:dyDescent="0.25">
      <c r="A986" s="190" t="s">
        <v>21</v>
      </c>
      <c r="B986" s="190" t="s">
        <v>5539</v>
      </c>
      <c r="C986" s="190" t="s">
        <v>5434</v>
      </c>
      <c r="M986" s="190" t="s">
        <v>5497</v>
      </c>
    </row>
    <row r="987" spans="1:21" s="190" customFormat="1" ht="15" x14ac:dyDescent="0.25">
      <c r="A987" s="190" t="s">
        <v>21</v>
      </c>
      <c r="B987" s="190" t="s">
        <v>5540</v>
      </c>
      <c r="C987" s="190" t="s">
        <v>5434</v>
      </c>
      <c r="M987" s="190" t="s">
        <v>5757</v>
      </c>
    </row>
    <row r="988" spans="1:21" s="190" customFormat="1" ht="15" x14ac:dyDescent="0.25"/>
    <row r="989" spans="1:21" s="189" customFormat="1" ht="15" x14ac:dyDescent="0.25">
      <c r="A989" s="187" t="s">
        <v>16</v>
      </c>
      <c r="B989" s="187" t="str">
        <f>B990&amp;"gr"</f>
        <v>xp18a_question1gr</v>
      </c>
      <c r="C989" s="187"/>
      <c r="D989" s="188"/>
      <c r="E989" s="187"/>
      <c r="F989" s="188"/>
      <c r="G989" s="187"/>
      <c r="H989" s="188"/>
      <c r="I989" s="187"/>
      <c r="J989" s="188"/>
      <c r="K989" s="187"/>
      <c r="L989" s="187"/>
      <c r="M989" s="187"/>
      <c r="N989" s="187"/>
      <c r="O989" s="190" t="s">
        <v>5551</v>
      </c>
      <c r="P989" s="186" t="s">
        <v>47</v>
      </c>
      <c r="Q989" s="186"/>
      <c r="R989" s="186"/>
      <c r="S989" s="186"/>
      <c r="T989" s="186"/>
      <c r="U989" s="186"/>
    </row>
    <row r="990" spans="1:21" s="190" customFormat="1" ht="15" x14ac:dyDescent="0.25">
      <c r="A990" s="190" t="s">
        <v>5542</v>
      </c>
      <c r="B990" s="190" t="s">
        <v>5720</v>
      </c>
      <c r="C990" s="190" t="s">
        <v>5541</v>
      </c>
      <c r="E990" s="190" t="s">
        <v>5545</v>
      </c>
      <c r="G990" s="190" t="s">
        <v>5548</v>
      </c>
      <c r="K990" s="187" t="s">
        <v>17</v>
      </c>
    </row>
    <row r="991" spans="1:21" s="190" customFormat="1" ht="15" x14ac:dyDescent="0.25">
      <c r="A991" s="190" t="s">
        <v>5543</v>
      </c>
      <c r="B991" s="190" t="s">
        <v>5722</v>
      </c>
      <c r="C991" s="190" t="s">
        <v>5541</v>
      </c>
      <c r="E991" s="190" t="s">
        <v>5546</v>
      </c>
      <c r="G991" s="190" t="s">
        <v>5549</v>
      </c>
      <c r="K991" s="187" t="s">
        <v>17</v>
      </c>
    </row>
    <row r="992" spans="1:21" s="190" customFormat="1" ht="15" x14ac:dyDescent="0.25">
      <c r="A992" s="190" t="s">
        <v>5544</v>
      </c>
      <c r="B992" s="190" t="s">
        <v>5723</v>
      </c>
      <c r="C992" s="190" t="s">
        <v>5541</v>
      </c>
      <c r="E992" s="190" t="s">
        <v>5547</v>
      </c>
      <c r="G992" s="190" t="s">
        <v>5550</v>
      </c>
      <c r="K992" s="187" t="s">
        <v>17</v>
      </c>
    </row>
    <row r="993" spans="1:21" s="189" customFormat="1" x14ac:dyDescent="0.2">
      <c r="A993" s="187" t="s">
        <v>48</v>
      </c>
      <c r="B993" s="187"/>
      <c r="C993" s="187"/>
      <c r="D993" s="188"/>
      <c r="E993" s="187"/>
      <c r="F993" s="188"/>
      <c r="G993" s="187"/>
      <c r="H993" s="188"/>
      <c r="I993" s="187"/>
      <c r="J993" s="188"/>
      <c r="K993" s="187"/>
      <c r="L993" s="187"/>
      <c r="M993" s="187"/>
      <c r="N993" s="187"/>
      <c r="O993" s="186"/>
      <c r="P993" s="186"/>
      <c r="Q993" s="186"/>
      <c r="R993" s="186"/>
      <c r="S993" s="186"/>
      <c r="T993" s="186"/>
      <c r="U993" s="186"/>
    </row>
    <row r="994" spans="1:21" s="190" customFormat="1" ht="15" x14ac:dyDescent="0.25"/>
    <row r="995" spans="1:21" s="189" customFormat="1" ht="15" x14ac:dyDescent="0.25">
      <c r="A995" s="187" t="s">
        <v>16</v>
      </c>
      <c r="B995" s="187" t="str">
        <f>B996&amp;"gr"</f>
        <v>xp18a_question2gr</v>
      </c>
      <c r="C995" s="187"/>
      <c r="D995" s="188"/>
      <c r="E995" s="187"/>
      <c r="F995" s="188"/>
      <c r="G995" s="187"/>
      <c r="H995" s="188"/>
      <c r="I995" s="187"/>
      <c r="J995" s="188"/>
      <c r="K995" s="187"/>
      <c r="L995" s="187"/>
      <c r="M995" s="187"/>
      <c r="N995" s="187"/>
      <c r="O995" s="190" t="s">
        <v>5552</v>
      </c>
      <c r="P995" s="186" t="s">
        <v>47</v>
      </c>
      <c r="Q995" s="186"/>
      <c r="R995" s="186"/>
      <c r="S995" s="186"/>
      <c r="T995" s="186"/>
      <c r="U995" s="186"/>
    </row>
    <row r="996" spans="1:21" s="190" customFormat="1" ht="15" x14ac:dyDescent="0.25">
      <c r="A996" s="190" t="s">
        <v>5542</v>
      </c>
      <c r="B996" s="190" t="s">
        <v>5725</v>
      </c>
      <c r="C996" s="190" t="s">
        <v>5541</v>
      </c>
      <c r="E996" s="190" t="s">
        <v>5545</v>
      </c>
      <c r="G996" s="190" t="s">
        <v>5548</v>
      </c>
      <c r="K996" s="187" t="s">
        <v>17</v>
      </c>
    </row>
    <row r="997" spans="1:21" s="190" customFormat="1" ht="15" x14ac:dyDescent="0.25">
      <c r="A997" s="190" t="s">
        <v>5544</v>
      </c>
      <c r="B997" s="190" t="s">
        <v>5724</v>
      </c>
      <c r="C997" s="190" t="s">
        <v>5541</v>
      </c>
      <c r="E997" s="190" t="s">
        <v>5547</v>
      </c>
      <c r="G997" s="190" t="s">
        <v>5550</v>
      </c>
      <c r="K997" s="187" t="s">
        <v>17</v>
      </c>
    </row>
    <row r="998" spans="1:21" s="190" customFormat="1" ht="15" x14ac:dyDescent="0.25">
      <c r="A998" s="190" t="s">
        <v>5543</v>
      </c>
      <c r="B998" s="190" t="s">
        <v>5721</v>
      </c>
      <c r="C998" s="190" t="s">
        <v>5541</v>
      </c>
      <c r="E998" s="190" t="s">
        <v>5546</v>
      </c>
      <c r="G998" s="190" t="s">
        <v>5549</v>
      </c>
      <c r="K998" s="187" t="s">
        <v>17</v>
      </c>
    </row>
    <row r="999" spans="1:21" s="189" customFormat="1" x14ac:dyDescent="0.2">
      <c r="A999" s="187" t="s">
        <v>48</v>
      </c>
      <c r="B999" s="187"/>
      <c r="C999" s="187"/>
      <c r="D999" s="188"/>
      <c r="E999" s="187"/>
      <c r="F999" s="188"/>
      <c r="G999" s="187"/>
      <c r="H999" s="188"/>
      <c r="I999" s="187"/>
      <c r="J999" s="188"/>
      <c r="K999" s="187"/>
      <c r="L999" s="187"/>
      <c r="M999" s="187"/>
      <c r="N999" s="187"/>
      <c r="O999" s="186"/>
      <c r="P999" s="186"/>
      <c r="Q999" s="186"/>
      <c r="R999" s="186"/>
      <c r="S999" s="186"/>
      <c r="T999" s="186"/>
      <c r="U999" s="186"/>
    </row>
    <row r="1000" spans="1:21" s="190" customFormat="1" ht="15" x14ac:dyDescent="0.25"/>
    <row r="1001" spans="1:21" s="189" customFormat="1" ht="15" x14ac:dyDescent="0.25">
      <c r="A1001" s="187" t="s">
        <v>16</v>
      </c>
      <c r="B1001" s="187" t="str">
        <f>B1003&amp;"gr"</f>
        <v>xp18a_question3gr</v>
      </c>
      <c r="C1001" s="187"/>
      <c r="D1001" s="188"/>
      <c r="E1001" s="187"/>
      <c r="F1001" s="188"/>
      <c r="G1001" s="187"/>
      <c r="H1001" s="188"/>
      <c r="I1001" s="187"/>
      <c r="J1001" s="188"/>
      <c r="K1001" s="187"/>
      <c r="L1001" s="187"/>
      <c r="M1001" s="187"/>
      <c r="N1001" s="187"/>
      <c r="O1001" s="190" t="s">
        <v>5553</v>
      </c>
      <c r="P1001" s="186" t="s">
        <v>47</v>
      </c>
      <c r="Q1001" s="186"/>
      <c r="R1001" s="186"/>
      <c r="S1001" s="186"/>
      <c r="T1001" s="186"/>
      <c r="U1001" s="186"/>
    </row>
    <row r="1002" spans="1:21" s="190" customFormat="1" ht="15" x14ac:dyDescent="0.25">
      <c r="A1002" s="190" t="s">
        <v>5544</v>
      </c>
      <c r="B1002" s="190" t="s">
        <v>5727</v>
      </c>
      <c r="C1002" s="190" t="s">
        <v>5541</v>
      </c>
      <c r="E1002" s="190" t="s">
        <v>5547</v>
      </c>
      <c r="G1002" s="190" t="s">
        <v>5550</v>
      </c>
      <c r="K1002" s="187" t="s">
        <v>17</v>
      </c>
    </row>
    <row r="1003" spans="1:21" s="190" customFormat="1" ht="15" x14ac:dyDescent="0.25">
      <c r="A1003" s="190" t="s">
        <v>5542</v>
      </c>
      <c r="B1003" s="190" t="s">
        <v>5726</v>
      </c>
      <c r="C1003" s="190" t="s">
        <v>5541</v>
      </c>
      <c r="E1003" s="190" t="s">
        <v>5545</v>
      </c>
      <c r="G1003" s="190" t="s">
        <v>5548</v>
      </c>
      <c r="K1003" s="187" t="s">
        <v>17</v>
      </c>
    </row>
    <row r="1004" spans="1:21" s="190" customFormat="1" ht="15" x14ac:dyDescent="0.25">
      <c r="A1004" s="190" t="s">
        <v>5543</v>
      </c>
      <c r="B1004" s="190" t="s">
        <v>5728</v>
      </c>
      <c r="C1004" s="190" t="s">
        <v>5541</v>
      </c>
      <c r="E1004" s="190" t="s">
        <v>5546</v>
      </c>
      <c r="G1004" s="190" t="s">
        <v>5549</v>
      </c>
      <c r="K1004" s="187" t="s">
        <v>17</v>
      </c>
    </row>
    <row r="1005" spans="1:21" s="189" customFormat="1" x14ac:dyDescent="0.2">
      <c r="A1005" s="187" t="s">
        <v>48</v>
      </c>
      <c r="B1005" s="187"/>
      <c r="C1005" s="187"/>
      <c r="D1005" s="188"/>
      <c r="E1005" s="187"/>
      <c r="F1005" s="188"/>
      <c r="G1005" s="187"/>
      <c r="H1005" s="188"/>
      <c r="I1005" s="187"/>
      <c r="J1005" s="188"/>
      <c r="K1005" s="187"/>
      <c r="L1005" s="187"/>
      <c r="M1005" s="187"/>
      <c r="N1005" s="187"/>
      <c r="O1005" s="186"/>
      <c r="P1005" s="186"/>
      <c r="Q1005" s="186"/>
      <c r="R1005" s="186"/>
      <c r="S1005" s="186"/>
      <c r="T1005" s="186"/>
      <c r="U1005" s="186"/>
    </row>
    <row r="1006" spans="1:21" s="190" customFormat="1" ht="15" x14ac:dyDescent="0.25"/>
    <row r="1007" spans="1:21" s="189" customFormat="1" ht="15" x14ac:dyDescent="0.25">
      <c r="A1007" s="187" t="s">
        <v>16</v>
      </c>
      <c r="B1007" s="187" t="str">
        <f>B1010&amp;"gr"</f>
        <v>xp18a_question4gr</v>
      </c>
      <c r="C1007" s="187"/>
      <c r="D1007" s="188"/>
      <c r="E1007" s="187"/>
      <c r="F1007" s="188"/>
      <c r="G1007" s="187"/>
      <c r="H1007" s="188"/>
      <c r="I1007" s="187"/>
      <c r="J1007" s="188"/>
      <c r="K1007" s="187"/>
      <c r="L1007" s="187"/>
      <c r="M1007" s="187"/>
      <c r="N1007" s="187"/>
      <c r="O1007" s="190" t="s">
        <v>5732</v>
      </c>
      <c r="P1007" s="186" t="s">
        <v>47</v>
      </c>
      <c r="Q1007" s="186"/>
      <c r="R1007" s="186"/>
      <c r="S1007" s="186"/>
      <c r="T1007" s="186"/>
      <c r="U1007" s="186"/>
    </row>
    <row r="1008" spans="1:21" s="190" customFormat="1" ht="15" x14ac:dyDescent="0.25">
      <c r="A1008" s="190" t="s">
        <v>5544</v>
      </c>
      <c r="B1008" s="190" t="s">
        <v>5729</v>
      </c>
      <c r="C1008" s="190" t="s">
        <v>5541</v>
      </c>
      <c r="E1008" s="190" t="s">
        <v>5547</v>
      </c>
      <c r="G1008" s="190" t="s">
        <v>5550</v>
      </c>
      <c r="K1008" s="187" t="s">
        <v>17</v>
      </c>
    </row>
    <row r="1009" spans="1:21" s="190" customFormat="1" ht="15" x14ac:dyDescent="0.25">
      <c r="A1009" s="190" t="s">
        <v>5543</v>
      </c>
      <c r="B1009" s="190" t="s">
        <v>5731</v>
      </c>
      <c r="C1009" s="190" t="s">
        <v>5541</v>
      </c>
      <c r="E1009" s="190" t="s">
        <v>5546</v>
      </c>
      <c r="G1009" s="190" t="s">
        <v>5549</v>
      </c>
      <c r="K1009" s="187" t="s">
        <v>17</v>
      </c>
    </row>
    <row r="1010" spans="1:21" s="190" customFormat="1" ht="15" x14ac:dyDescent="0.25">
      <c r="A1010" s="190" t="s">
        <v>5542</v>
      </c>
      <c r="B1010" s="190" t="s">
        <v>5730</v>
      </c>
      <c r="C1010" s="190" t="s">
        <v>5541</v>
      </c>
      <c r="E1010" s="190" t="s">
        <v>5545</v>
      </c>
      <c r="G1010" s="190" t="s">
        <v>5548</v>
      </c>
      <c r="K1010" s="187" t="s">
        <v>17</v>
      </c>
    </row>
    <row r="1011" spans="1:21" s="189" customFormat="1" x14ac:dyDescent="0.2">
      <c r="A1011" s="187" t="s">
        <v>48</v>
      </c>
      <c r="B1011" s="187"/>
      <c r="C1011" s="187"/>
      <c r="D1011" s="188"/>
      <c r="E1011" s="187"/>
      <c r="F1011" s="188"/>
      <c r="G1011" s="187"/>
      <c r="H1011" s="188"/>
      <c r="I1011" s="187"/>
      <c r="J1011" s="188"/>
      <c r="K1011" s="187"/>
      <c r="L1011" s="187"/>
      <c r="M1011" s="187"/>
      <c r="N1011" s="187"/>
      <c r="O1011" s="186"/>
      <c r="P1011" s="186"/>
      <c r="Q1011" s="186"/>
      <c r="R1011" s="186"/>
      <c r="S1011" s="186"/>
      <c r="T1011" s="186"/>
      <c r="U1011" s="186"/>
    </row>
    <row r="1012" spans="1:21" s="190" customFormat="1" ht="15" x14ac:dyDescent="0.25">
      <c r="A1012" s="193"/>
      <c r="B1012" s="193"/>
      <c r="C1012" s="193"/>
      <c r="D1012" s="193"/>
      <c r="E1012" s="193"/>
      <c r="F1012" s="193"/>
      <c r="G1012" s="193"/>
      <c r="H1012" s="193"/>
      <c r="I1012" s="193"/>
      <c r="J1012" s="193"/>
      <c r="K1012" s="193"/>
      <c r="L1012" s="193"/>
      <c r="M1012" s="193"/>
      <c r="N1012" s="193"/>
      <c r="O1012" s="193"/>
      <c r="P1012" s="193"/>
      <c r="Q1012" s="193"/>
      <c r="R1012" s="193"/>
      <c r="S1012" s="193"/>
    </row>
    <row r="1013" spans="1:21" s="189" customFormat="1" ht="15" x14ac:dyDescent="0.25">
      <c r="A1013" s="187" t="s">
        <v>16</v>
      </c>
      <c r="B1013" s="187" t="str">
        <f>B1016&amp;"gr"</f>
        <v>xp18a_question5gr</v>
      </c>
      <c r="C1013" s="187"/>
      <c r="D1013" s="188"/>
      <c r="E1013" s="187"/>
      <c r="F1013" s="188"/>
      <c r="G1013" s="187"/>
      <c r="H1013" s="188"/>
      <c r="I1013" s="187"/>
      <c r="J1013" s="188"/>
      <c r="K1013" s="187"/>
      <c r="L1013" s="187"/>
      <c r="M1013" s="187"/>
      <c r="N1013" s="187"/>
      <c r="O1013" s="190" t="s">
        <v>5737</v>
      </c>
      <c r="P1013" s="186" t="s">
        <v>47</v>
      </c>
      <c r="Q1013" s="186"/>
      <c r="R1013" s="186"/>
      <c r="S1013" s="186"/>
      <c r="T1013" s="186"/>
      <c r="U1013" s="186"/>
    </row>
    <row r="1014" spans="1:21" s="190" customFormat="1" ht="15" x14ac:dyDescent="0.25">
      <c r="A1014" s="190" t="s">
        <v>5543</v>
      </c>
      <c r="B1014" s="190" t="s">
        <v>5734</v>
      </c>
      <c r="C1014" s="190" t="s">
        <v>5541</v>
      </c>
      <c r="E1014" s="190" t="s">
        <v>5546</v>
      </c>
      <c r="G1014" s="190" t="s">
        <v>5549</v>
      </c>
      <c r="K1014" s="187" t="s">
        <v>17</v>
      </c>
    </row>
    <row r="1015" spans="1:21" s="190" customFormat="1" ht="15" x14ac:dyDescent="0.25">
      <c r="A1015" s="190" t="s">
        <v>5544</v>
      </c>
      <c r="B1015" s="190" t="s">
        <v>5733</v>
      </c>
      <c r="C1015" s="190" t="s">
        <v>5541</v>
      </c>
      <c r="E1015" s="190" t="s">
        <v>5547</v>
      </c>
      <c r="G1015" s="190" t="s">
        <v>5550</v>
      </c>
      <c r="K1015" s="187" t="s">
        <v>17</v>
      </c>
    </row>
    <row r="1016" spans="1:21" s="190" customFormat="1" ht="15" x14ac:dyDescent="0.25">
      <c r="A1016" s="190" t="s">
        <v>5542</v>
      </c>
      <c r="B1016" s="190" t="s">
        <v>5735</v>
      </c>
      <c r="C1016" s="190" t="s">
        <v>5541</v>
      </c>
      <c r="E1016" s="190" t="s">
        <v>5545</v>
      </c>
      <c r="G1016" s="190" t="s">
        <v>5548</v>
      </c>
      <c r="K1016" s="187" t="s">
        <v>17</v>
      </c>
    </row>
    <row r="1017" spans="1:21" s="189" customFormat="1" x14ac:dyDescent="0.2">
      <c r="A1017" s="187" t="s">
        <v>48</v>
      </c>
      <c r="B1017" s="187"/>
      <c r="C1017" s="187"/>
      <c r="D1017" s="188"/>
      <c r="E1017" s="187"/>
      <c r="F1017" s="188"/>
      <c r="G1017" s="187"/>
      <c r="H1017" s="188"/>
      <c r="I1017" s="187"/>
      <c r="J1017" s="188"/>
      <c r="K1017" s="187"/>
      <c r="L1017" s="187"/>
      <c r="M1017" s="187"/>
      <c r="N1017" s="187"/>
      <c r="O1017" s="186"/>
      <c r="P1017" s="186"/>
      <c r="Q1017" s="186"/>
      <c r="R1017" s="186"/>
      <c r="S1017" s="186"/>
      <c r="T1017" s="186"/>
      <c r="U1017" s="186"/>
    </row>
    <row r="1018" spans="1:21" s="190" customFormat="1" ht="15" x14ac:dyDescent="0.25">
      <c r="A1018" s="193"/>
      <c r="B1018" s="193"/>
      <c r="C1018" s="193"/>
      <c r="D1018" s="193"/>
      <c r="E1018" s="193"/>
      <c r="F1018" s="193"/>
      <c r="G1018" s="193"/>
      <c r="H1018" s="193"/>
      <c r="I1018" s="193"/>
      <c r="J1018" s="193"/>
      <c r="K1018" s="193"/>
      <c r="L1018" s="193"/>
      <c r="M1018" s="193"/>
      <c r="N1018" s="193"/>
      <c r="O1018" s="193"/>
      <c r="P1018" s="193"/>
      <c r="Q1018" s="193"/>
      <c r="R1018" s="193"/>
      <c r="S1018" s="193"/>
    </row>
    <row r="1019" spans="1:21" s="190" customFormat="1" ht="15" x14ac:dyDescent="0.25">
      <c r="A1019" s="193"/>
      <c r="B1019" s="193"/>
      <c r="C1019" s="193"/>
      <c r="D1019" s="193"/>
      <c r="E1019" s="193"/>
      <c r="F1019" s="193"/>
      <c r="G1019" s="193"/>
      <c r="H1019" s="193"/>
      <c r="I1019" s="193"/>
      <c r="J1019" s="193"/>
      <c r="K1019" s="193"/>
      <c r="L1019" s="193"/>
      <c r="M1019" s="193"/>
      <c r="N1019" s="193"/>
      <c r="O1019" s="193"/>
      <c r="P1019" s="193"/>
      <c r="Q1019" s="193"/>
      <c r="R1019" s="193"/>
      <c r="S1019" s="193"/>
    </row>
    <row r="1020" spans="1:21" s="189" customFormat="1" ht="15" x14ac:dyDescent="0.25">
      <c r="A1020" s="187" t="s">
        <v>16</v>
      </c>
      <c r="B1020" s="187" t="str">
        <f>B1022&amp;"gr"</f>
        <v>xp18a_question6gr</v>
      </c>
      <c r="C1020" s="187"/>
      <c r="D1020" s="188"/>
      <c r="E1020" s="187"/>
      <c r="F1020" s="188"/>
      <c r="G1020" s="187"/>
      <c r="H1020" s="188"/>
      <c r="I1020" s="187"/>
      <c r="J1020" s="188"/>
      <c r="K1020" s="187"/>
      <c r="L1020" s="187"/>
      <c r="M1020" s="187"/>
      <c r="N1020" s="187"/>
      <c r="O1020" s="190" t="s">
        <v>5736</v>
      </c>
      <c r="P1020" s="186" t="s">
        <v>47</v>
      </c>
      <c r="Q1020" s="186"/>
      <c r="R1020" s="186"/>
      <c r="S1020" s="186"/>
      <c r="T1020" s="186"/>
      <c r="U1020" s="186"/>
    </row>
    <row r="1021" spans="1:21" s="190" customFormat="1" ht="15" x14ac:dyDescent="0.25">
      <c r="A1021" s="190" t="s">
        <v>5543</v>
      </c>
      <c r="B1021" s="190" t="s">
        <v>5740</v>
      </c>
      <c r="C1021" s="190" t="s">
        <v>5541</v>
      </c>
      <c r="E1021" s="190" t="s">
        <v>5546</v>
      </c>
      <c r="G1021" s="190" t="s">
        <v>5549</v>
      </c>
      <c r="K1021" s="187" t="s">
        <v>17</v>
      </c>
    </row>
    <row r="1022" spans="1:21" s="190" customFormat="1" ht="15" x14ac:dyDescent="0.25">
      <c r="A1022" s="190" t="s">
        <v>5542</v>
      </c>
      <c r="B1022" s="190" t="s">
        <v>5739</v>
      </c>
      <c r="C1022" s="190" t="s">
        <v>5541</v>
      </c>
      <c r="E1022" s="190" t="s">
        <v>5545</v>
      </c>
      <c r="G1022" s="190" t="s">
        <v>5548</v>
      </c>
      <c r="K1022" s="187" t="s">
        <v>17</v>
      </c>
    </row>
    <row r="1023" spans="1:21" s="190" customFormat="1" ht="15" x14ac:dyDescent="0.25">
      <c r="A1023" s="190" t="s">
        <v>5544</v>
      </c>
      <c r="B1023" s="190" t="s">
        <v>5738</v>
      </c>
      <c r="C1023" s="190" t="s">
        <v>5541</v>
      </c>
      <c r="E1023" s="190" t="s">
        <v>5547</v>
      </c>
      <c r="G1023" s="190" t="s">
        <v>5550</v>
      </c>
      <c r="K1023" s="187" t="s">
        <v>17</v>
      </c>
    </row>
    <row r="1024" spans="1:21" s="189" customFormat="1" x14ac:dyDescent="0.2">
      <c r="A1024" s="187" t="s">
        <v>48</v>
      </c>
      <c r="B1024" s="187"/>
      <c r="C1024" s="187"/>
      <c r="D1024" s="188"/>
      <c r="E1024" s="187"/>
      <c r="F1024" s="188"/>
      <c r="G1024" s="187"/>
      <c r="H1024" s="188"/>
      <c r="I1024" s="187"/>
      <c r="J1024" s="188"/>
      <c r="K1024" s="187"/>
      <c r="L1024" s="187"/>
      <c r="M1024" s="187"/>
      <c r="N1024" s="187"/>
      <c r="O1024" s="186"/>
      <c r="P1024" s="186"/>
      <c r="Q1024" s="186"/>
      <c r="R1024" s="186"/>
      <c r="S1024" s="186"/>
      <c r="T1024" s="186"/>
      <c r="U1024" s="186"/>
    </row>
    <row r="1025" spans="1:19" s="190" customFormat="1" ht="15" x14ac:dyDescent="0.25">
      <c r="A1025" s="193"/>
      <c r="B1025" s="193"/>
      <c r="C1025" s="193"/>
      <c r="D1025" s="193"/>
      <c r="E1025" s="193"/>
      <c r="F1025" s="193"/>
      <c r="G1025" s="193"/>
      <c r="H1025" s="193"/>
      <c r="I1025" s="193"/>
      <c r="J1025" s="193"/>
      <c r="K1025" s="193"/>
      <c r="L1025" s="193"/>
      <c r="M1025" s="193"/>
      <c r="N1025" s="193"/>
      <c r="O1025" s="193"/>
      <c r="P1025" s="193"/>
      <c r="Q1025" s="193"/>
      <c r="R1025" s="193"/>
      <c r="S1025" s="193"/>
    </row>
    <row r="1026" spans="1:19" s="190" customFormat="1" ht="15" x14ac:dyDescent="0.25">
      <c r="A1026" s="193"/>
      <c r="B1026" s="193"/>
      <c r="C1026" s="193"/>
      <c r="D1026" s="193"/>
      <c r="E1026" s="193"/>
      <c r="F1026" s="193"/>
      <c r="G1026" s="193"/>
      <c r="H1026" s="193"/>
      <c r="I1026" s="193"/>
      <c r="J1026" s="193"/>
      <c r="K1026" s="193"/>
      <c r="L1026" s="193"/>
      <c r="M1026" s="193"/>
      <c r="N1026" s="193"/>
      <c r="O1026" s="193"/>
      <c r="P1026" s="193"/>
      <c r="Q1026" s="193"/>
      <c r="R1026" s="193"/>
      <c r="S1026" s="193"/>
    </row>
    <row r="1027" spans="1:19" s="190" customFormat="1" ht="15" x14ac:dyDescent="0.25">
      <c r="A1027" s="193"/>
      <c r="B1027" s="193"/>
      <c r="C1027" s="193"/>
      <c r="D1027" s="193"/>
      <c r="E1027" s="193"/>
      <c r="F1027" s="193"/>
      <c r="G1027" s="193"/>
      <c r="H1027" s="193"/>
      <c r="I1027" s="193"/>
      <c r="J1027" s="193"/>
      <c r="K1027" s="193"/>
      <c r="L1027" s="193"/>
      <c r="M1027" s="193"/>
      <c r="N1027" s="193"/>
      <c r="O1027" s="193"/>
      <c r="P1027" s="193"/>
      <c r="Q1027" s="193"/>
      <c r="R1027" s="193"/>
      <c r="S1027" s="193"/>
    </row>
    <row r="1028" spans="1:19" s="185" customFormat="1" ht="15" x14ac:dyDescent="0.25">
      <c r="A1028" s="194" t="s">
        <v>48</v>
      </c>
      <c r="B1028" s="195" t="s">
        <v>5435</v>
      </c>
      <c r="C1028" s="195" t="s">
        <v>5432</v>
      </c>
      <c r="D1028" s="195"/>
      <c r="E1028" s="195" t="s">
        <v>5433</v>
      </c>
      <c r="F1028" s="195"/>
      <c r="G1028" s="195" t="s">
        <v>5433</v>
      </c>
      <c r="H1028" s="195"/>
      <c r="I1028" s="194"/>
      <c r="J1028" s="194"/>
      <c r="K1028" s="194"/>
      <c r="L1028" s="194"/>
      <c r="M1028" s="194"/>
      <c r="N1028" s="194"/>
      <c r="O1028" s="194"/>
      <c r="P1028" s="194"/>
      <c r="Q1028" s="194"/>
      <c r="R1028" s="194"/>
      <c r="S1028" s="194"/>
    </row>
    <row r="1031" spans="1:19" s="107" customFormat="1" ht="15" x14ac:dyDescent="0.25">
      <c r="A1031" s="114" t="s">
        <v>1902</v>
      </c>
      <c r="B1031" s="114" t="s">
        <v>5832</v>
      </c>
      <c r="C1031" s="75" t="s">
        <v>5835</v>
      </c>
      <c r="D1031" s="114"/>
      <c r="E1031" s="75" t="s">
        <v>5836</v>
      </c>
      <c r="F1031" s="114"/>
      <c r="G1031" s="75" t="s">
        <v>5836</v>
      </c>
      <c r="H1031" s="114"/>
      <c r="J1031" s="107" t="s">
        <v>806</v>
      </c>
      <c r="K1031" s="114" t="s">
        <v>17</v>
      </c>
      <c r="O1031" s="114" t="s">
        <v>29</v>
      </c>
    </row>
    <row r="1032" spans="1:19" s="106" customFormat="1" ht="15" x14ac:dyDescent="0.25">
      <c r="A1032" s="16" t="s">
        <v>21</v>
      </c>
      <c r="B1032" s="114" t="s">
        <v>5833</v>
      </c>
      <c r="C1032" s="16"/>
      <c r="D1032" s="82"/>
      <c r="E1032" s="16"/>
      <c r="F1032" s="82"/>
      <c r="G1032" s="16"/>
      <c r="H1032" s="82"/>
      <c r="I1032" s="16"/>
      <c r="J1032" s="16"/>
      <c r="K1032" s="16"/>
      <c r="L1032" s="16"/>
      <c r="M1032" s="16" t="s">
        <v>5834</v>
      </c>
      <c r="N1032" s="16"/>
      <c r="O1032" s="16"/>
      <c r="P1032" s="16"/>
      <c r="Q1032" s="16"/>
      <c r="R1032" s="16"/>
      <c r="S1032" s="16"/>
    </row>
    <row r="1035" spans="1:19" s="150" customFormat="1" ht="15" x14ac:dyDescent="0.25">
      <c r="A1035" s="149" t="s">
        <v>16</v>
      </c>
      <c r="B1035" s="149" t="s">
        <v>5837</v>
      </c>
      <c r="C1035" s="149" t="s">
        <v>5838</v>
      </c>
      <c r="D1035" s="149"/>
      <c r="E1035" s="149" t="s">
        <v>5839</v>
      </c>
      <c r="F1035" s="149"/>
      <c r="G1035" s="149" t="s">
        <v>5840</v>
      </c>
      <c r="H1035" s="149"/>
      <c r="I1035" s="149"/>
      <c r="O1035" s="150" t="s">
        <v>29</v>
      </c>
    </row>
    <row r="1037" spans="1:19" s="172" customFormat="1" x14ac:dyDescent="0.2">
      <c r="A1037" s="168" t="s">
        <v>16</v>
      </c>
      <c r="B1037" s="168" t="s">
        <v>6054</v>
      </c>
      <c r="C1037" s="168" t="s">
        <v>5838</v>
      </c>
      <c r="D1037" s="169"/>
      <c r="E1037" s="170" t="s">
        <v>5839</v>
      </c>
      <c r="F1037" s="171"/>
      <c r="G1037" s="170" t="s">
        <v>5840</v>
      </c>
      <c r="H1037" s="171"/>
      <c r="I1037" s="168"/>
      <c r="J1037" s="168"/>
      <c r="K1037" s="168"/>
      <c r="L1037" s="168"/>
      <c r="M1037" s="168"/>
      <c r="N1037" s="168"/>
      <c r="O1037" s="168" t="s">
        <v>4342</v>
      </c>
      <c r="P1037" s="168"/>
      <c r="Q1037" s="168"/>
      <c r="R1037" s="168"/>
      <c r="S1037" s="168"/>
    </row>
    <row r="1038" spans="1:19" s="172" customFormat="1" ht="15" x14ac:dyDescent="0.25">
      <c r="A1038" s="173" t="s">
        <v>6043</v>
      </c>
      <c r="B1038" s="168" t="s">
        <v>5844</v>
      </c>
      <c r="C1038" s="168" t="s">
        <v>5841</v>
      </c>
      <c r="D1038" s="169"/>
      <c r="E1038" s="170" t="s">
        <v>5842</v>
      </c>
      <c r="F1038" s="171"/>
      <c r="G1038" s="170" t="s">
        <v>5843</v>
      </c>
      <c r="H1038" s="171"/>
      <c r="I1038" s="168"/>
      <c r="J1038" s="168"/>
      <c r="K1038" s="170" t="s">
        <v>17</v>
      </c>
      <c r="L1038" s="168"/>
      <c r="M1038" s="168"/>
      <c r="N1038" s="168"/>
      <c r="O1038" s="168"/>
      <c r="P1038" s="168"/>
      <c r="Q1038" s="168"/>
      <c r="R1038" s="168"/>
      <c r="S1038" s="168"/>
    </row>
    <row r="1039" spans="1:19" s="172" customFormat="1" ht="15" x14ac:dyDescent="0.25">
      <c r="A1039" s="173" t="s">
        <v>6044</v>
      </c>
      <c r="B1039" s="168" t="s">
        <v>5845</v>
      </c>
      <c r="C1039" s="168" t="s">
        <v>5846</v>
      </c>
      <c r="D1039" s="169"/>
      <c r="E1039" s="170" t="s">
        <v>5847</v>
      </c>
      <c r="F1039" s="171"/>
      <c r="G1039" s="170" t="s">
        <v>5848</v>
      </c>
      <c r="H1039" s="171"/>
      <c r="I1039" s="168"/>
      <c r="J1039" s="168"/>
      <c r="K1039" s="170" t="s">
        <v>17</v>
      </c>
      <c r="L1039" s="168"/>
      <c r="M1039" s="168"/>
      <c r="N1039" s="168"/>
      <c r="O1039" s="168"/>
      <c r="P1039" s="168"/>
      <c r="Q1039" s="168"/>
      <c r="R1039" s="168"/>
      <c r="S1039" s="168"/>
    </row>
    <row r="1040" spans="1:19" s="172" customFormat="1" ht="15" x14ac:dyDescent="0.25">
      <c r="A1040" s="173" t="s">
        <v>6045</v>
      </c>
      <c r="B1040" s="168" t="s">
        <v>5851</v>
      </c>
      <c r="C1040" s="168" t="s">
        <v>5850</v>
      </c>
      <c r="D1040" s="169" t="s">
        <v>5167</v>
      </c>
      <c r="E1040" s="170" t="s">
        <v>5859</v>
      </c>
      <c r="F1040" s="171" t="s">
        <v>5159</v>
      </c>
      <c r="G1040" s="170" t="s">
        <v>5852</v>
      </c>
      <c r="H1040" s="171" t="s">
        <v>5161</v>
      </c>
      <c r="I1040" s="168"/>
      <c r="J1040" s="168"/>
      <c r="K1040" s="170" t="s">
        <v>17</v>
      </c>
      <c r="L1040" s="168"/>
      <c r="M1040" s="168"/>
      <c r="N1040" s="168"/>
      <c r="O1040" s="170" t="s">
        <v>6032</v>
      </c>
      <c r="P1040" s="168"/>
      <c r="Q1040" s="168"/>
      <c r="R1040" s="168"/>
      <c r="S1040" s="168"/>
    </row>
    <row r="1041" spans="1:19" s="172" customFormat="1" ht="15" x14ac:dyDescent="0.25">
      <c r="A1041" s="170" t="s">
        <v>26</v>
      </c>
      <c r="B1041" s="170" t="str">
        <f>B1040&amp;"x"</f>
        <v>wat2_1x</v>
      </c>
      <c r="C1041" s="170" t="s">
        <v>913</v>
      </c>
      <c r="D1041" s="173"/>
      <c r="E1041" s="170" t="s">
        <v>952</v>
      </c>
      <c r="F1041" s="173"/>
      <c r="G1041" s="170" t="s">
        <v>1816</v>
      </c>
      <c r="H1041" s="173"/>
      <c r="I1041" s="174"/>
      <c r="J1041" s="170"/>
      <c r="K1041" s="170" t="s">
        <v>17</v>
      </c>
      <c r="L1041" s="168"/>
      <c r="M1041" s="168"/>
      <c r="N1041" s="168"/>
      <c r="O1041" s="168" t="str">
        <f>"selected(${"&amp;B1040&amp;"},'96')"</f>
        <v>selected(${wat2_1},'96')</v>
      </c>
      <c r="P1041" s="168"/>
      <c r="Q1041" s="168"/>
      <c r="R1041" s="168"/>
      <c r="S1041" s="168"/>
    </row>
    <row r="1042" spans="1:19" s="172" customFormat="1" ht="15" x14ac:dyDescent="0.25">
      <c r="A1042" s="173" t="s">
        <v>6046</v>
      </c>
      <c r="B1042" s="168" t="s">
        <v>5849</v>
      </c>
      <c r="C1042" s="168" t="s">
        <v>5853</v>
      </c>
      <c r="D1042" s="169"/>
      <c r="E1042" s="170" t="s">
        <v>5854</v>
      </c>
      <c r="F1042" s="171"/>
      <c r="G1042" s="170" t="s">
        <v>5855</v>
      </c>
      <c r="H1042" s="171"/>
      <c r="I1042" s="168"/>
      <c r="J1042" s="168"/>
      <c r="K1042" s="170" t="s">
        <v>17</v>
      </c>
      <c r="L1042" s="168"/>
      <c r="M1042" s="168"/>
      <c r="N1042" s="168"/>
      <c r="O1042" s="168"/>
      <c r="P1042" s="168"/>
      <c r="Q1042" s="168"/>
      <c r="R1042" s="168"/>
      <c r="S1042" s="168"/>
    </row>
    <row r="1043" spans="1:19" s="172" customFormat="1" ht="15" x14ac:dyDescent="0.25">
      <c r="A1043" s="173" t="s">
        <v>6047</v>
      </c>
      <c r="B1043" s="168" t="s">
        <v>5856</v>
      </c>
      <c r="C1043" s="168" t="s">
        <v>5857</v>
      </c>
      <c r="D1043" s="169" t="s">
        <v>5178</v>
      </c>
      <c r="E1043" s="170" t="s">
        <v>5858</v>
      </c>
      <c r="F1043" s="171" t="s">
        <v>5180</v>
      </c>
      <c r="G1043" s="170" t="s">
        <v>5860</v>
      </c>
      <c r="H1043" s="171" t="s">
        <v>5182</v>
      </c>
      <c r="I1043" s="168"/>
      <c r="J1043" s="168"/>
      <c r="K1043" s="170" t="s">
        <v>17</v>
      </c>
      <c r="L1043" s="168"/>
      <c r="M1043" s="168"/>
      <c r="N1043" s="168"/>
      <c r="O1043" s="168"/>
      <c r="P1043" s="168"/>
      <c r="Q1043" s="168"/>
      <c r="R1043" s="168"/>
      <c r="S1043" s="168"/>
    </row>
    <row r="1044" spans="1:19" s="172" customFormat="1" ht="15" x14ac:dyDescent="0.25">
      <c r="A1044" s="170" t="s">
        <v>26</v>
      </c>
      <c r="B1044" s="170" t="str">
        <f>B1043&amp;"x"</f>
        <v>wat4x</v>
      </c>
      <c r="C1044" s="170" t="s">
        <v>913</v>
      </c>
      <c r="D1044" s="173"/>
      <c r="E1044" s="170" t="s">
        <v>952</v>
      </c>
      <c r="F1044" s="173"/>
      <c r="G1044" s="170" t="s">
        <v>1816</v>
      </c>
      <c r="H1044" s="173"/>
      <c r="I1044" s="174"/>
      <c r="J1044" s="170"/>
      <c r="K1044" s="170" t="s">
        <v>17</v>
      </c>
      <c r="L1044" s="168"/>
      <c r="M1044" s="168"/>
      <c r="N1044" s="168"/>
      <c r="O1044" s="168" t="str">
        <f>"selected(${"&amp;B1043&amp;"},'96')"</f>
        <v>selected(${wat4},'96')</v>
      </c>
      <c r="P1044" s="168"/>
      <c r="Q1044" s="168"/>
      <c r="R1044" s="168"/>
      <c r="S1044" s="168"/>
    </row>
    <row r="1045" spans="1:19" s="172" customFormat="1" ht="15" x14ac:dyDescent="0.25">
      <c r="A1045" s="173" t="s">
        <v>6048</v>
      </c>
      <c r="B1045" s="168" t="s">
        <v>5861</v>
      </c>
      <c r="C1045" s="168" t="s">
        <v>5862</v>
      </c>
      <c r="D1045" s="169"/>
      <c r="E1045" s="170" t="s">
        <v>5863</v>
      </c>
      <c r="F1045" s="171"/>
      <c r="G1045" s="170" t="s">
        <v>5864</v>
      </c>
      <c r="H1045" s="171"/>
      <c r="I1045" s="168"/>
      <c r="J1045" s="168"/>
      <c r="K1045" s="170" t="s">
        <v>17</v>
      </c>
      <c r="L1045" s="168"/>
      <c r="M1045" s="168"/>
      <c r="N1045" s="168"/>
      <c r="O1045" s="168"/>
      <c r="P1045" s="168"/>
      <c r="Q1045" s="168"/>
      <c r="R1045" s="168"/>
      <c r="S1045" s="168"/>
    </row>
    <row r="1046" spans="1:19" s="172" customFormat="1" ht="15" x14ac:dyDescent="0.25">
      <c r="A1046" s="173" t="s">
        <v>6049</v>
      </c>
      <c r="B1046" s="168" t="s">
        <v>5865</v>
      </c>
      <c r="C1046" s="168" t="s">
        <v>5866</v>
      </c>
      <c r="D1046" s="169"/>
      <c r="E1046" s="170" t="s">
        <v>5867</v>
      </c>
      <c r="F1046" s="171"/>
      <c r="G1046" s="170" t="s">
        <v>5868</v>
      </c>
      <c r="H1046" s="171"/>
      <c r="I1046" s="168"/>
      <c r="J1046" s="168"/>
      <c r="K1046" s="170" t="s">
        <v>17</v>
      </c>
      <c r="L1046" s="168"/>
      <c r="M1046" s="168"/>
      <c r="N1046" s="168"/>
      <c r="O1046" s="168"/>
      <c r="P1046" s="168"/>
      <c r="Q1046" s="168"/>
      <c r="R1046" s="168"/>
      <c r="S1046" s="168"/>
    </row>
    <row r="1047" spans="1:19" s="172" customFormat="1" ht="15" x14ac:dyDescent="0.25">
      <c r="A1047" s="170" t="s">
        <v>26</v>
      </c>
      <c r="B1047" s="170" t="str">
        <f>B1046&amp;"x"</f>
        <v>wat6x</v>
      </c>
      <c r="C1047" s="170" t="s">
        <v>4868</v>
      </c>
      <c r="D1047" s="173"/>
      <c r="E1047" s="170" t="s">
        <v>4869</v>
      </c>
      <c r="F1047" s="173"/>
      <c r="G1047" s="170" t="s">
        <v>4870</v>
      </c>
      <c r="H1047" s="173"/>
      <c r="I1047" s="174"/>
      <c r="J1047" s="170"/>
      <c r="K1047" s="170" t="s">
        <v>17</v>
      </c>
      <c r="L1047" s="168"/>
      <c r="M1047" s="168"/>
      <c r="N1047" s="168"/>
      <c r="O1047" s="170" t="str">
        <f>"${"&amp;B1046&amp;"}=96"</f>
        <v>${wat6}=96</v>
      </c>
      <c r="P1047" s="168"/>
      <c r="Q1047" s="168"/>
      <c r="R1047" s="168"/>
      <c r="S1047" s="168"/>
    </row>
    <row r="1048" spans="1:19" s="172" customFormat="1" ht="15" x14ac:dyDescent="0.25">
      <c r="A1048" s="173" t="s">
        <v>5967</v>
      </c>
      <c r="B1048" s="168" t="s">
        <v>5869</v>
      </c>
      <c r="C1048" s="168" t="s">
        <v>5870</v>
      </c>
      <c r="D1048" s="169"/>
      <c r="E1048" s="170" t="s">
        <v>5871</v>
      </c>
      <c r="F1048" s="171"/>
      <c r="G1048" s="170" t="s">
        <v>5872</v>
      </c>
      <c r="H1048" s="171"/>
      <c r="I1048" s="168"/>
      <c r="J1048" s="168"/>
      <c r="K1048" s="170" t="s">
        <v>17</v>
      </c>
      <c r="L1048" s="168"/>
      <c r="M1048" s="168"/>
      <c r="N1048" s="168"/>
      <c r="O1048" s="168"/>
      <c r="P1048" s="168"/>
      <c r="Q1048" s="168"/>
      <c r="R1048" s="168"/>
      <c r="S1048" s="168"/>
    </row>
    <row r="1049" spans="1:19" s="172" customFormat="1" ht="15" x14ac:dyDescent="0.25">
      <c r="A1049" s="173" t="s">
        <v>1886</v>
      </c>
      <c r="B1049" s="168" t="s">
        <v>5876</v>
      </c>
      <c r="C1049" s="168" t="s">
        <v>5873</v>
      </c>
      <c r="D1049" s="169"/>
      <c r="E1049" s="170" t="s">
        <v>5874</v>
      </c>
      <c r="F1049" s="171"/>
      <c r="G1049" s="170" t="s">
        <v>5875</v>
      </c>
      <c r="H1049" s="171"/>
      <c r="I1049" s="168"/>
      <c r="J1049" s="168"/>
      <c r="K1049" s="170" t="s">
        <v>17</v>
      </c>
      <c r="L1049" s="168"/>
      <c r="M1049" s="168"/>
      <c r="N1049" s="168"/>
      <c r="O1049" s="168"/>
      <c r="P1049" s="168"/>
      <c r="Q1049" s="168"/>
      <c r="R1049" s="168"/>
      <c r="S1049" s="168"/>
    </row>
    <row r="1050" spans="1:19" s="172" customFormat="1" ht="15" x14ac:dyDescent="0.25">
      <c r="A1050" s="173" t="s">
        <v>28</v>
      </c>
      <c r="B1050" s="168" t="s">
        <v>5877</v>
      </c>
      <c r="C1050" s="168" t="s">
        <v>5878</v>
      </c>
      <c r="D1050" s="169" t="s">
        <v>5881</v>
      </c>
      <c r="E1050" s="170" t="s">
        <v>5879</v>
      </c>
      <c r="F1050" s="171" t="s">
        <v>5882</v>
      </c>
      <c r="G1050" s="170" t="s">
        <v>5880</v>
      </c>
      <c r="H1050" s="171" t="s">
        <v>5882</v>
      </c>
      <c r="I1050" s="168"/>
      <c r="J1050" s="168"/>
      <c r="K1050" s="170" t="s">
        <v>17</v>
      </c>
      <c r="L1050" s="168"/>
      <c r="M1050" s="168"/>
      <c r="N1050" s="168"/>
      <c r="O1050" s="170" t="str">
        <f>"${"&amp;B1049&amp;"}=1"</f>
        <v>${wat8}=1</v>
      </c>
      <c r="P1050" s="168"/>
      <c r="Q1050" s="168"/>
      <c r="R1050" s="168"/>
      <c r="S1050" s="168"/>
    </row>
    <row r="1051" spans="1:19" s="172" customFormat="1" ht="15" x14ac:dyDescent="0.25">
      <c r="A1051" s="173" t="s">
        <v>28</v>
      </c>
      <c r="B1051" s="168" t="s">
        <v>5883</v>
      </c>
      <c r="C1051" s="168" t="s">
        <v>5884</v>
      </c>
      <c r="D1051" s="169" t="s">
        <v>5881</v>
      </c>
      <c r="E1051" s="170" t="s">
        <v>5885</v>
      </c>
      <c r="F1051" s="171" t="s">
        <v>5882</v>
      </c>
      <c r="G1051" s="170" t="s">
        <v>5886</v>
      </c>
      <c r="H1051" s="171" t="s">
        <v>5882</v>
      </c>
      <c r="I1051" s="168"/>
      <c r="J1051" s="168"/>
      <c r="K1051" s="170" t="s">
        <v>17</v>
      </c>
      <c r="L1051" s="168"/>
      <c r="M1051" s="168"/>
      <c r="N1051" s="168"/>
      <c r="O1051" s="168"/>
      <c r="P1051" s="168"/>
      <c r="Q1051" s="168"/>
      <c r="R1051" s="168"/>
      <c r="S1051" s="168"/>
    </row>
    <row r="1052" spans="1:19" s="172" customFormat="1" ht="15" x14ac:dyDescent="0.25">
      <c r="A1052" s="173" t="s">
        <v>1886</v>
      </c>
      <c r="B1052" s="168" t="s">
        <v>5887</v>
      </c>
      <c r="C1052" s="168" t="s">
        <v>5888</v>
      </c>
      <c r="D1052" s="169"/>
      <c r="E1052" s="170" t="s">
        <v>5889</v>
      </c>
      <c r="F1052" s="171"/>
      <c r="G1052" s="170" t="s">
        <v>5890</v>
      </c>
      <c r="H1052" s="171"/>
      <c r="I1052" s="168"/>
      <c r="J1052" s="168"/>
      <c r="K1052" s="170" t="s">
        <v>17</v>
      </c>
      <c r="L1052" s="168"/>
      <c r="M1052" s="168"/>
      <c r="N1052" s="168"/>
      <c r="O1052" s="168"/>
      <c r="P1052" s="168"/>
      <c r="Q1052" s="168"/>
      <c r="R1052" s="168"/>
      <c r="S1052" s="168"/>
    </row>
    <row r="1053" spans="1:19" s="172" customFormat="1" ht="15" x14ac:dyDescent="0.25">
      <c r="A1053" s="173" t="s">
        <v>6050</v>
      </c>
      <c r="B1053" s="168" t="s">
        <v>5891</v>
      </c>
      <c r="C1053" s="168" t="s">
        <v>5892</v>
      </c>
      <c r="D1053" s="169"/>
      <c r="E1053" s="170" t="s">
        <v>5893</v>
      </c>
      <c r="F1053" s="171"/>
      <c r="G1053" s="170" t="s">
        <v>5894</v>
      </c>
      <c r="H1053" s="171"/>
      <c r="I1053" s="168"/>
      <c r="J1053" s="168"/>
      <c r="K1053" s="170" t="s">
        <v>17</v>
      </c>
      <c r="L1053" s="168"/>
      <c r="M1053" s="168"/>
      <c r="N1053" s="168"/>
      <c r="O1053" s="170" t="str">
        <f>"${"&amp;B1052&amp;"}=1"</f>
        <v>${wat11}=1</v>
      </c>
      <c r="P1053" s="168"/>
      <c r="Q1053" s="168"/>
      <c r="R1053" s="168"/>
      <c r="S1053" s="168"/>
    </row>
    <row r="1054" spans="1:19" s="172" customFormat="1" ht="15" x14ac:dyDescent="0.25">
      <c r="A1054" s="170" t="s">
        <v>26</v>
      </c>
      <c r="B1054" s="170" t="str">
        <f>B1053&amp;"x"</f>
        <v>wat11_1x</v>
      </c>
      <c r="C1054" s="170" t="s">
        <v>4868</v>
      </c>
      <c r="D1054" s="173"/>
      <c r="E1054" s="170" t="s">
        <v>4869</v>
      </c>
      <c r="F1054" s="173"/>
      <c r="G1054" s="170" t="s">
        <v>4870</v>
      </c>
      <c r="H1054" s="173"/>
      <c r="I1054" s="174"/>
      <c r="J1054" s="170"/>
      <c r="K1054" s="170" t="s">
        <v>17</v>
      </c>
      <c r="L1054" s="168"/>
      <c r="M1054" s="168"/>
      <c r="N1054" s="168"/>
      <c r="O1054" s="170" t="str">
        <f>"${"&amp;B1053&amp;"}=96"</f>
        <v>${wat11_1}=96</v>
      </c>
      <c r="P1054" s="168"/>
      <c r="Q1054" s="168"/>
      <c r="R1054" s="168"/>
      <c r="S1054" s="168"/>
    </row>
    <row r="1055" spans="1:19" s="172" customFormat="1" x14ac:dyDescent="0.2">
      <c r="A1055" s="168"/>
      <c r="B1055" s="168"/>
      <c r="C1055" s="168"/>
      <c r="D1055" s="169"/>
      <c r="E1055" s="170"/>
      <c r="F1055" s="171"/>
      <c r="G1055" s="170"/>
      <c r="H1055" s="171"/>
      <c r="I1055" s="168"/>
      <c r="J1055" s="168"/>
      <c r="K1055" s="168"/>
      <c r="L1055" s="168"/>
      <c r="M1055" s="168"/>
      <c r="N1055" s="168"/>
      <c r="O1055" s="168"/>
      <c r="P1055" s="168"/>
      <c r="Q1055" s="168"/>
      <c r="R1055" s="168"/>
      <c r="S1055" s="168"/>
    </row>
    <row r="1056" spans="1:19" s="173" customFormat="1" ht="15" x14ac:dyDescent="0.25">
      <c r="A1056" s="173" t="s">
        <v>21</v>
      </c>
      <c r="B1056" s="173" t="s">
        <v>5895</v>
      </c>
      <c r="C1056" s="173" t="s">
        <v>5434</v>
      </c>
      <c r="M1056" s="173" t="s">
        <v>5497</v>
      </c>
    </row>
    <row r="1057" spans="1:19" s="173" customFormat="1" ht="15" x14ac:dyDescent="0.25">
      <c r="A1057" s="173" t="s">
        <v>21</v>
      </c>
      <c r="B1057" s="173" t="s">
        <v>5896</v>
      </c>
      <c r="C1057" s="173" t="s">
        <v>5434</v>
      </c>
      <c r="M1057" s="173" t="s">
        <v>6041</v>
      </c>
    </row>
    <row r="1058" spans="1:19" s="173" customFormat="1" ht="15" x14ac:dyDescent="0.25">
      <c r="A1058" s="173" t="s">
        <v>22</v>
      </c>
      <c r="B1058" s="173" t="s">
        <v>5899</v>
      </c>
      <c r="C1058" s="173" t="s">
        <v>5901</v>
      </c>
      <c r="E1058" s="173" t="s">
        <v>5903</v>
      </c>
      <c r="G1058" s="173" t="s">
        <v>5905</v>
      </c>
      <c r="O1058" s="173" t="s">
        <v>5897</v>
      </c>
    </row>
    <row r="1059" spans="1:19" s="173" customFormat="1" ht="15" x14ac:dyDescent="0.25">
      <c r="A1059" s="173" t="s">
        <v>22</v>
      </c>
      <c r="B1059" s="173" t="s">
        <v>5900</v>
      </c>
      <c r="C1059" s="173" t="s">
        <v>5902</v>
      </c>
      <c r="E1059" s="173" t="s">
        <v>5904</v>
      </c>
      <c r="G1059" s="173" t="s">
        <v>5906</v>
      </c>
      <c r="O1059" s="173" t="s">
        <v>5898</v>
      </c>
    </row>
    <row r="1060" spans="1:19" s="172" customFormat="1" x14ac:dyDescent="0.2">
      <c r="A1060" s="168"/>
      <c r="B1060" s="168"/>
      <c r="C1060" s="168"/>
      <c r="D1060" s="169"/>
      <c r="E1060" s="170"/>
      <c r="F1060" s="171"/>
      <c r="G1060" s="170"/>
      <c r="H1060" s="171"/>
      <c r="I1060" s="168"/>
      <c r="J1060" s="168"/>
      <c r="K1060" s="168"/>
      <c r="L1060" s="168"/>
      <c r="M1060" s="168"/>
      <c r="N1060" s="168"/>
      <c r="O1060" s="168"/>
      <c r="P1060" s="168"/>
      <c r="Q1060" s="168"/>
      <c r="R1060" s="168"/>
      <c r="S1060" s="168"/>
    </row>
    <row r="1061" spans="1:19" s="172" customFormat="1" ht="15" x14ac:dyDescent="0.25">
      <c r="A1061" s="173" t="s">
        <v>22</v>
      </c>
      <c r="B1061" s="168" t="s">
        <v>5985</v>
      </c>
      <c r="C1061" s="168" t="s">
        <v>5986</v>
      </c>
      <c r="D1061" s="169"/>
      <c r="E1061" s="170" t="s">
        <v>5987</v>
      </c>
      <c r="F1061" s="171"/>
      <c r="G1061" s="170" t="s">
        <v>5988</v>
      </c>
      <c r="H1061" s="171"/>
      <c r="I1061" s="168"/>
      <c r="J1061" s="168"/>
      <c r="K1061" s="170"/>
      <c r="L1061" s="168"/>
      <c r="M1061" s="168"/>
      <c r="N1061" s="168"/>
      <c r="O1061" s="168"/>
      <c r="P1061" s="168"/>
      <c r="Q1061" s="168"/>
      <c r="R1061" s="168"/>
      <c r="S1061" s="168"/>
    </row>
    <row r="1062" spans="1:19" s="172" customFormat="1" ht="15" x14ac:dyDescent="0.25">
      <c r="A1062" s="173"/>
      <c r="B1062" s="168"/>
      <c r="C1062" s="168"/>
      <c r="D1062" s="169"/>
      <c r="E1062" s="170"/>
      <c r="F1062" s="171"/>
      <c r="G1062" s="170"/>
      <c r="H1062" s="171"/>
      <c r="I1062" s="168"/>
      <c r="J1062" s="168"/>
      <c r="K1062" s="170"/>
      <c r="L1062" s="168"/>
      <c r="M1062" s="168"/>
      <c r="N1062" s="168"/>
      <c r="O1062" s="168"/>
      <c r="P1062" s="168"/>
      <c r="Q1062" s="168"/>
      <c r="R1062" s="168"/>
      <c r="S1062" s="168"/>
    </row>
    <row r="1063" spans="1:19" s="173" customFormat="1" ht="15" x14ac:dyDescent="0.25">
      <c r="A1063" s="173" t="s">
        <v>21</v>
      </c>
      <c r="B1063" s="173" t="s">
        <v>6035</v>
      </c>
      <c r="C1063" s="173" t="s">
        <v>5434</v>
      </c>
      <c r="M1063" s="173" t="s">
        <v>5497</v>
      </c>
    </row>
    <row r="1064" spans="1:19" s="173" customFormat="1" ht="15" x14ac:dyDescent="0.25">
      <c r="A1064" s="173" t="s">
        <v>21</v>
      </c>
      <c r="B1064" s="173" t="s">
        <v>6036</v>
      </c>
      <c r="C1064" s="173" t="s">
        <v>5434</v>
      </c>
      <c r="M1064" s="173" t="s">
        <v>6042</v>
      </c>
    </row>
    <row r="1065" spans="1:19" s="173" customFormat="1" ht="15" x14ac:dyDescent="0.25">
      <c r="A1065" s="173" t="s">
        <v>5909</v>
      </c>
      <c r="B1065" s="173" t="s">
        <v>5907</v>
      </c>
      <c r="C1065" s="175" t="s">
        <v>5520</v>
      </c>
      <c r="O1065" s="176" t="s">
        <v>4342</v>
      </c>
    </row>
    <row r="1066" spans="1:19" s="173" customFormat="1" ht="15" x14ac:dyDescent="0.25">
      <c r="A1066" s="173" t="s">
        <v>21</v>
      </c>
      <c r="B1066" s="173" t="s">
        <v>5908</v>
      </c>
      <c r="M1066" s="173" t="s">
        <v>6037</v>
      </c>
      <c r="O1066" s="176"/>
    </row>
    <row r="1067" spans="1:19" s="172" customFormat="1" x14ac:dyDescent="0.2">
      <c r="A1067" s="168"/>
      <c r="B1067" s="168"/>
      <c r="C1067" s="168"/>
      <c r="D1067" s="169"/>
      <c r="E1067" s="170"/>
      <c r="F1067" s="171"/>
      <c r="G1067" s="170"/>
      <c r="H1067" s="171"/>
      <c r="I1067" s="168"/>
      <c r="J1067" s="168"/>
      <c r="K1067" s="168"/>
      <c r="L1067" s="168"/>
      <c r="M1067" s="168"/>
      <c r="N1067" s="168"/>
      <c r="O1067" s="168"/>
      <c r="P1067" s="168"/>
      <c r="Q1067" s="168"/>
      <c r="R1067" s="168"/>
      <c r="S1067" s="168"/>
    </row>
    <row r="1068" spans="1:19" s="172" customFormat="1" ht="15" x14ac:dyDescent="0.25">
      <c r="A1068" s="173" t="s">
        <v>6051</v>
      </c>
      <c r="B1068" s="168" t="s">
        <v>5910</v>
      </c>
      <c r="C1068" s="168" t="s">
        <v>6038</v>
      </c>
      <c r="D1068" s="169"/>
      <c r="E1068" s="170" t="s">
        <v>6039</v>
      </c>
      <c r="F1068" s="171"/>
      <c r="G1068" s="170" t="s">
        <v>6040</v>
      </c>
      <c r="H1068" s="171"/>
      <c r="I1068" s="168"/>
      <c r="J1068" s="168"/>
      <c r="K1068" s="170" t="s">
        <v>17</v>
      </c>
      <c r="L1068" s="168"/>
      <c r="M1068" s="168"/>
      <c r="N1068" s="168"/>
      <c r="O1068" s="168"/>
      <c r="P1068" s="168"/>
      <c r="Q1068" s="168"/>
      <c r="R1068" s="168"/>
      <c r="S1068" s="168"/>
    </row>
    <row r="1069" spans="1:19" s="172" customFormat="1" ht="15" x14ac:dyDescent="0.25">
      <c r="A1069" s="173" t="s">
        <v>6052</v>
      </c>
      <c r="B1069" s="168" t="s">
        <v>5911</v>
      </c>
      <c r="C1069" s="168" t="s">
        <v>5912</v>
      </c>
      <c r="D1069" s="169" t="s">
        <v>5510</v>
      </c>
      <c r="E1069" s="170" t="s">
        <v>5913</v>
      </c>
      <c r="F1069" s="171" t="s">
        <v>5914</v>
      </c>
      <c r="G1069" s="170" t="s">
        <v>5915</v>
      </c>
      <c r="H1069" s="171" t="s">
        <v>5916</v>
      </c>
      <c r="I1069" s="168"/>
      <c r="J1069" s="168"/>
      <c r="K1069" s="170" t="s">
        <v>17</v>
      </c>
      <c r="L1069" s="168"/>
      <c r="M1069" s="168"/>
      <c r="N1069" s="168"/>
      <c r="O1069" s="170" t="s">
        <v>6033</v>
      </c>
      <c r="P1069" s="168"/>
      <c r="Q1069" s="168"/>
      <c r="R1069" s="168"/>
      <c r="S1069" s="168"/>
    </row>
    <row r="1070" spans="1:19" s="172" customFormat="1" ht="15" x14ac:dyDescent="0.25">
      <c r="A1070" s="170" t="s">
        <v>26</v>
      </c>
      <c r="B1070" s="170" t="str">
        <f>B1069&amp;"x"</f>
        <v>wat14x</v>
      </c>
      <c r="C1070" s="170" t="s">
        <v>913</v>
      </c>
      <c r="D1070" s="173"/>
      <c r="E1070" s="170" t="s">
        <v>952</v>
      </c>
      <c r="F1070" s="173"/>
      <c r="G1070" s="170" t="s">
        <v>1816</v>
      </c>
      <c r="H1070" s="173"/>
      <c r="I1070" s="174"/>
      <c r="J1070" s="170"/>
      <c r="K1070" s="170" t="s">
        <v>17</v>
      </c>
      <c r="L1070" s="168"/>
      <c r="M1070" s="168"/>
      <c r="N1070" s="168"/>
      <c r="O1070" s="168" t="str">
        <f>"selected(${"&amp;B1069&amp;"},'96')"</f>
        <v>selected(${wat14},'96')</v>
      </c>
      <c r="P1070" s="168"/>
      <c r="Q1070" s="168"/>
      <c r="R1070" s="168"/>
      <c r="S1070" s="168"/>
    </row>
    <row r="1071" spans="1:19" s="172" customFormat="1" ht="15" x14ac:dyDescent="0.25">
      <c r="A1071" s="173" t="s">
        <v>6053</v>
      </c>
      <c r="B1071" s="168" t="s">
        <v>5917</v>
      </c>
      <c r="C1071" s="168" t="s">
        <v>5918</v>
      </c>
      <c r="D1071" s="169"/>
      <c r="E1071" s="170" t="s">
        <v>5919</v>
      </c>
      <c r="F1071" s="171"/>
      <c r="G1071" s="170" t="s">
        <v>5920</v>
      </c>
      <c r="H1071" s="171"/>
      <c r="I1071" s="168"/>
      <c r="J1071" s="168"/>
      <c r="K1071" s="170" t="s">
        <v>17</v>
      </c>
      <c r="L1071" s="168"/>
      <c r="M1071" s="168"/>
      <c r="N1071" s="168"/>
      <c r="O1071" s="170" t="s">
        <v>6034</v>
      </c>
      <c r="P1071" s="168"/>
      <c r="Q1071" s="168"/>
      <c r="R1071" s="168"/>
      <c r="S1071" s="168"/>
    </row>
    <row r="1072" spans="1:19" s="172" customFormat="1" ht="15" x14ac:dyDescent="0.25">
      <c r="A1072" s="170" t="s">
        <v>26</v>
      </c>
      <c r="B1072" s="170" t="str">
        <f>B1071&amp;"x"</f>
        <v>wat15x</v>
      </c>
      <c r="C1072" s="170" t="s">
        <v>4868</v>
      </c>
      <c r="D1072" s="173"/>
      <c r="E1072" s="170" t="s">
        <v>4869</v>
      </c>
      <c r="F1072" s="173"/>
      <c r="G1072" s="170" t="s">
        <v>4870</v>
      </c>
      <c r="H1072" s="173"/>
      <c r="I1072" s="174"/>
      <c r="J1072" s="170"/>
      <c r="K1072" s="170" t="s">
        <v>17</v>
      </c>
      <c r="L1072" s="168"/>
      <c r="M1072" s="168"/>
      <c r="N1072" s="168"/>
      <c r="O1072" s="170" t="str">
        <f>"${"&amp;B1071&amp;"}=96"</f>
        <v>${wat15}=96</v>
      </c>
      <c r="P1072" s="168"/>
      <c r="Q1072" s="168"/>
      <c r="R1072" s="168"/>
      <c r="S1072" s="168"/>
    </row>
    <row r="1073" spans="1:19" s="172" customFormat="1" x14ac:dyDescent="0.2">
      <c r="A1073" s="168" t="s">
        <v>5967</v>
      </c>
      <c r="B1073" s="168" t="s">
        <v>5921</v>
      </c>
      <c r="C1073" s="168" t="s">
        <v>5922</v>
      </c>
      <c r="D1073" s="169"/>
      <c r="E1073" s="170" t="s">
        <v>5923</v>
      </c>
      <c r="F1073" s="171"/>
      <c r="G1073" s="170" t="s">
        <v>5924</v>
      </c>
      <c r="H1073" s="171"/>
      <c r="I1073" s="168"/>
      <c r="J1073" s="168"/>
      <c r="K1073" s="170" t="s">
        <v>17</v>
      </c>
      <c r="L1073" s="168"/>
      <c r="M1073" s="168"/>
      <c r="N1073" s="168"/>
      <c r="O1073" s="168"/>
      <c r="P1073" s="168"/>
      <c r="Q1073" s="168"/>
      <c r="R1073" s="168"/>
      <c r="S1073" s="168"/>
    </row>
    <row r="1075" spans="1:19" s="172" customFormat="1" x14ac:dyDescent="0.2">
      <c r="A1075" s="168" t="s">
        <v>48</v>
      </c>
      <c r="B1075" s="168" t="s">
        <v>6055</v>
      </c>
      <c r="C1075" s="168"/>
      <c r="D1075" s="169"/>
      <c r="E1075" s="170"/>
      <c r="F1075" s="171"/>
      <c r="G1075" s="170"/>
      <c r="H1075" s="171"/>
      <c r="I1075" s="168"/>
      <c r="J1075" s="168"/>
      <c r="K1075" s="168"/>
      <c r="L1075" s="168"/>
      <c r="M1075" s="168"/>
      <c r="N1075" s="168"/>
      <c r="O1075" s="168"/>
      <c r="P1075" s="168"/>
      <c r="Q1075" s="168"/>
      <c r="R1075" s="168"/>
      <c r="S1075" s="168"/>
    </row>
    <row r="1077" spans="1:19" ht="15" x14ac:dyDescent="0.25">
      <c r="A1077" t="s">
        <v>6057</v>
      </c>
      <c r="B1077" s="8" t="s">
        <v>6056</v>
      </c>
      <c r="C1077" s="8" t="s">
        <v>6058</v>
      </c>
      <c r="E1077" s="7" t="s">
        <v>6059</v>
      </c>
      <c r="G1077" s="7" t="s">
        <v>6060</v>
      </c>
      <c r="K1077" s="7" t="s">
        <v>17</v>
      </c>
      <c r="O1077" s="7"/>
    </row>
    <row r="1078" spans="1:19" ht="15" x14ac:dyDescent="0.25">
      <c r="A1078" s="7" t="s">
        <v>26</v>
      </c>
      <c r="B1078" s="7" t="str">
        <f>B1077&amp;"x"</f>
        <v>wat17x</v>
      </c>
      <c r="C1078" s="7" t="s">
        <v>6061</v>
      </c>
      <c r="D1078"/>
      <c r="E1078" s="7" t="s">
        <v>2317</v>
      </c>
      <c r="F1078"/>
      <c r="G1078" s="7" t="s">
        <v>5591</v>
      </c>
      <c r="H1078"/>
      <c r="I1078" s="63"/>
      <c r="J1078" s="7"/>
      <c r="K1078" s="7" t="s">
        <v>17</v>
      </c>
      <c r="O1078" s="7" t="str">
        <f>"${"&amp;B1077&amp;"}=96"</f>
        <v>${wat17}=96</v>
      </c>
    </row>
    <row r="1079" spans="1:19" ht="15" x14ac:dyDescent="0.25">
      <c r="A1079" t="s">
        <v>28</v>
      </c>
      <c r="B1079" s="8" t="s">
        <v>6062</v>
      </c>
      <c r="C1079" s="8" t="s">
        <v>5884</v>
      </c>
      <c r="D1079" s="177" t="s">
        <v>5881</v>
      </c>
      <c r="E1079" s="7" t="s">
        <v>6063</v>
      </c>
      <c r="F1079" s="178" t="s">
        <v>6239</v>
      </c>
      <c r="G1079" s="7" t="s">
        <v>6064</v>
      </c>
      <c r="H1079" s="178" t="s">
        <v>6239</v>
      </c>
      <c r="K1079" s="7" t="s">
        <v>17</v>
      </c>
      <c r="O1079" s="7"/>
    </row>
    <row r="1080" spans="1:19" s="107" customFormat="1" ht="15" x14ac:dyDescent="0.25">
      <c r="A1080" s="107" t="s">
        <v>21</v>
      </c>
      <c r="B1080" s="107" t="s">
        <v>6066</v>
      </c>
      <c r="C1080" s="107">
        <v>150</v>
      </c>
      <c r="M1080" s="107" t="s">
        <v>6065</v>
      </c>
    </row>
    <row r="1081" spans="1:19" s="107" customFormat="1" ht="15" x14ac:dyDescent="0.25">
      <c r="A1081" s="107" t="s">
        <v>21</v>
      </c>
      <c r="B1081" s="107" t="s">
        <v>6067</v>
      </c>
      <c r="C1081" s="107">
        <v>100</v>
      </c>
      <c r="M1081" s="107" t="s">
        <v>6068</v>
      </c>
    </row>
    <row r="1082" spans="1:19" s="107" customFormat="1" ht="15" x14ac:dyDescent="0.25">
      <c r="A1082" s="107" t="s">
        <v>21</v>
      </c>
      <c r="B1082" s="107" t="s">
        <v>6069</v>
      </c>
      <c r="C1082" s="107">
        <v>50</v>
      </c>
      <c r="M1082" s="107" t="s">
        <v>6070</v>
      </c>
    </row>
    <row r="1083" spans="1:19" s="107" customFormat="1" ht="15" x14ac:dyDescent="0.25">
      <c r="A1083" s="107" t="s">
        <v>21</v>
      </c>
      <c r="B1083" s="107" t="s">
        <v>6071</v>
      </c>
      <c r="C1083" s="107">
        <v>25</v>
      </c>
      <c r="M1083" s="107" t="s">
        <v>6072</v>
      </c>
    </row>
    <row r="1085" spans="1:19" ht="15" x14ac:dyDescent="0.25">
      <c r="A1085" t="s">
        <v>1886</v>
      </c>
      <c r="B1085" s="8" t="s">
        <v>6073</v>
      </c>
      <c r="C1085" s="8" t="s">
        <v>6076</v>
      </c>
      <c r="E1085" s="7" t="s">
        <v>6075</v>
      </c>
      <c r="G1085" s="7" t="s">
        <v>6074</v>
      </c>
      <c r="K1085" s="7" t="s">
        <v>17</v>
      </c>
      <c r="O1085" s="7"/>
    </row>
    <row r="1086" spans="1:19" ht="15" x14ac:dyDescent="0.25">
      <c r="A1086" t="s">
        <v>1886</v>
      </c>
      <c r="B1086" s="8" t="s">
        <v>6077</v>
      </c>
      <c r="C1086" s="8" t="s">
        <v>6078</v>
      </c>
      <c r="E1086" s="7" t="s">
        <v>6079</v>
      </c>
      <c r="G1086" s="7" t="s">
        <v>6080</v>
      </c>
      <c r="K1086" s="7" t="s">
        <v>17</v>
      </c>
      <c r="O1086" s="7" t="s">
        <v>6089</v>
      </c>
    </row>
    <row r="1087" spans="1:19" ht="15" x14ac:dyDescent="0.25">
      <c r="A1087" t="s">
        <v>1886</v>
      </c>
      <c r="B1087" s="8" t="s">
        <v>6081</v>
      </c>
      <c r="C1087" s="8" t="s">
        <v>6082</v>
      </c>
      <c r="E1087" s="7" t="s">
        <v>6083</v>
      </c>
      <c r="G1087" s="7" t="s">
        <v>6084</v>
      </c>
      <c r="K1087" s="7" t="s">
        <v>17</v>
      </c>
      <c r="O1087" s="7" t="s">
        <v>6090</v>
      </c>
    </row>
    <row r="1088" spans="1:19" ht="15" x14ac:dyDescent="0.25">
      <c r="A1088" t="s">
        <v>1886</v>
      </c>
      <c r="B1088" s="8" t="s">
        <v>6085</v>
      </c>
      <c r="C1088" s="8" t="s">
        <v>6086</v>
      </c>
      <c r="E1088" s="7" t="s">
        <v>6087</v>
      </c>
      <c r="G1088" s="7" t="s">
        <v>6088</v>
      </c>
      <c r="K1088" s="7" t="s">
        <v>17</v>
      </c>
      <c r="O1088" s="7" t="s">
        <v>6091</v>
      </c>
    </row>
    <row r="1090" spans="1:15" ht="15" x14ac:dyDescent="0.25">
      <c r="A1090" t="s">
        <v>28</v>
      </c>
      <c r="B1090" s="8" t="s">
        <v>6092</v>
      </c>
      <c r="C1090" s="8" t="s">
        <v>6093</v>
      </c>
      <c r="E1090" s="7" t="s">
        <v>6094</v>
      </c>
      <c r="G1090" s="7" t="s">
        <v>6095</v>
      </c>
      <c r="J1090" s="8" t="s">
        <v>6096</v>
      </c>
      <c r="K1090" s="7" t="s">
        <v>17</v>
      </c>
      <c r="O1090" s="7"/>
    </row>
    <row r="1091" spans="1:15" ht="15" x14ac:dyDescent="0.25">
      <c r="A1091" t="s">
        <v>5967</v>
      </c>
      <c r="B1091" s="8" t="s">
        <v>6097</v>
      </c>
      <c r="C1091" s="8" t="s">
        <v>6098</v>
      </c>
      <c r="E1091" s="7" t="s">
        <v>6099</v>
      </c>
      <c r="G1091" s="7" t="s">
        <v>6100</v>
      </c>
      <c r="K1091" s="7" t="s">
        <v>17</v>
      </c>
      <c r="O1091" s="7"/>
    </row>
    <row r="1092" spans="1:15" ht="15" x14ac:dyDescent="0.25">
      <c r="A1092" t="s">
        <v>5967</v>
      </c>
      <c r="B1092" s="8" t="s">
        <v>6101</v>
      </c>
      <c r="C1092" s="8" t="s">
        <v>6102</v>
      </c>
      <c r="E1092" s="7" t="s">
        <v>6103</v>
      </c>
      <c r="G1092" s="7" t="s">
        <v>6104</v>
      </c>
      <c r="K1092" s="7" t="s">
        <v>17</v>
      </c>
      <c r="O1092" s="7"/>
    </row>
    <row r="1093" spans="1:15" ht="15" x14ac:dyDescent="0.25">
      <c r="A1093" t="s">
        <v>6178</v>
      </c>
      <c r="B1093" s="8" t="s">
        <v>6177</v>
      </c>
      <c r="C1093" s="8" t="s">
        <v>6105</v>
      </c>
      <c r="E1093" s="7" t="s">
        <v>6106</v>
      </c>
      <c r="G1093" s="7" t="s">
        <v>6107</v>
      </c>
      <c r="K1093" s="7" t="s">
        <v>17</v>
      </c>
      <c r="O1093" s="7" t="s">
        <v>6240</v>
      </c>
    </row>
    <row r="1094" spans="1:15" ht="15" x14ac:dyDescent="0.25">
      <c r="A1094" s="7" t="s">
        <v>26</v>
      </c>
      <c r="B1094" s="7" t="str">
        <f>B1093&amp;"x"</f>
        <v>wat22_1_x</v>
      </c>
      <c r="C1094" s="7" t="s">
        <v>6061</v>
      </c>
      <c r="D1094"/>
      <c r="E1094" s="7" t="s">
        <v>2317</v>
      </c>
      <c r="F1094"/>
      <c r="G1094" s="7" t="s">
        <v>5591</v>
      </c>
      <c r="H1094"/>
      <c r="I1094" s="63"/>
      <c r="J1094" s="7"/>
      <c r="K1094" s="7" t="s">
        <v>17</v>
      </c>
      <c r="O1094" s="8" t="str">
        <f>"selected(${"&amp;B1093&amp;"},'96')"</f>
        <v>selected(${wat22_1_},'96')</v>
      </c>
    </row>
    <row r="1095" spans="1:15" ht="15" x14ac:dyDescent="0.25">
      <c r="A1095" t="s">
        <v>5967</v>
      </c>
      <c r="B1095" s="8" t="s">
        <v>6111</v>
      </c>
      <c r="C1095" s="8" t="s">
        <v>6108</v>
      </c>
      <c r="E1095" s="7" t="s">
        <v>6109</v>
      </c>
      <c r="G1095" s="7" t="s">
        <v>6110</v>
      </c>
      <c r="K1095" s="7" t="s">
        <v>17</v>
      </c>
      <c r="O1095" s="7"/>
    </row>
    <row r="1096" spans="1:15" ht="15" x14ac:dyDescent="0.25">
      <c r="A1096" t="s">
        <v>6120</v>
      </c>
      <c r="B1096" s="8" t="s">
        <v>6112</v>
      </c>
      <c r="C1096" s="8" t="s">
        <v>6113</v>
      </c>
      <c r="E1096" s="7" t="s">
        <v>6114</v>
      </c>
      <c r="G1096" s="7" t="s">
        <v>6115</v>
      </c>
      <c r="K1096" s="7" t="s">
        <v>17</v>
      </c>
      <c r="O1096" s="7"/>
    </row>
    <row r="1097" spans="1:15" ht="15" x14ac:dyDescent="0.25">
      <c r="A1097" t="s">
        <v>6184</v>
      </c>
      <c r="B1097" s="8" t="s">
        <v>6116</v>
      </c>
      <c r="C1097" s="8" t="s">
        <v>6117</v>
      </c>
      <c r="E1097" s="7" t="s">
        <v>6118</v>
      </c>
      <c r="G1097" s="7" t="s">
        <v>6119</v>
      </c>
      <c r="K1097" s="7" t="s">
        <v>17</v>
      </c>
      <c r="O1097" s="7" t="s">
        <v>6241</v>
      </c>
    </row>
    <row r="1098" spans="1:15" ht="15" x14ac:dyDescent="0.25">
      <c r="A1098" s="7" t="s">
        <v>26</v>
      </c>
      <c r="B1098" s="7" t="str">
        <f>B1097&amp;"x"</f>
        <v>wat24_1_x</v>
      </c>
      <c r="C1098" s="7" t="s">
        <v>913</v>
      </c>
      <c r="D1098"/>
      <c r="E1098" s="7" t="s">
        <v>952</v>
      </c>
      <c r="F1098"/>
      <c r="G1098" s="7" t="s">
        <v>1816</v>
      </c>
      <c r="H1098"/>
      <c r="I1098" s="63"/>
      <c r="J1098" s="7"/>
      <c r="K1098" s="7" t="s">
        <v>17</v>
      </c>
      <c r="O1098" s="8" t="str">
        <f>"selected(${"&amp;B1097&amp;"},'96')"</f>
        <v>selected(${wat24_1_},'96')</v>
      </c>
    </row>
    <row r="1099" spans="1:15" ht="15" x14ac:dyDescent="0.25">
      <c r="A1099" t="s">
        <v>6194</v>
      </c>
      <c r="B1099" s="8" t="s">
        <v>6121</v>
      </c>
      <c r="C1099" s="8" t="s">
        <v>6122</v>
      </c>
      <c r="E1099" s="7" t="s">
        <v>6123</v>
      </c>
      <c r="G1099" s="7" t="s">
        <v>6124</v>
      </c>
      <c r="K1099" s="7" t="s">
        <v>17</v>
      </c>
      <c r="O1099" s="7" t="s">
        <v>6241</v>
      </c>
    </row>
    <row r="1100" spans="1:15" ht="15" x14ac:dyDescent="0.25">
      <c r="A1100" s="7" t="s">
        <v>26</v>
      </c>
      <c r="B1100" s="7" t="str">
        <f>B1099&amp;"x"</f>
        <v>wat24_2x</v>
      </c>
      <c r="C1100" s="7" t="s">
        <v>6061</v>
      </c>
      <c r="D1100"/>
      <c r="E1100" s="7" t="s">
        <v>2317</v>
      </c>
      <c r="F1100"/>
      <c r="G1100" s="7" t="s">
        <v>5591</v>
      </c>
      <c r="H1100"/>
      <c r="I1100" s="63"/>
      <c r="J1100" s="7"/>
      <c r="K1100" s="7" t="s">
        <v>17</v>
      </c>
      <c r="O1100" s="7" t="str">
        <f>"${"&amp;B1099&amp;"}=96"</f>
        <v>${wat24_2}=96</v>
      </c>
    </row>
    <row r="1101" spans="1:15" ht="15" x14ac:dyDescent="0.25">
      <c r="A1101" t="s">
        <v>1886</v>
      </c>
      <c r="B1101" s="8" t="s">
        <v>6128</v>
      </c>
      <c r="C1101" s="8" t="s">
        <v>6125</v>
      </c>
      <c r="E1101" s="7" t="s">
        <v>6126</v>
      </c>
      <c r="G1101" s="7" t="s">
        <v>6127</v>
      </c>
      <c r="K1101" s="7" t="s">
        <v>17</v>
      </c>
      <c r="O1101" s="7"/>
    </row>
    <row r="1102" spans="1:15" ht="15" x14ac:dyDescent="0.25">
      <c r="A1102" t="s">
        <v>1886</v>
      </c>
      <c r="B1102" s="8" t="s">
        <v>6129</v>
      </c>
      <c r="C1102" s="8" t="s">
        <v>6130</v>
      </c>
      <c r="E1102" s="7" t="s">
        <v>6131</v>
      </c>
      <c r="G1102" s="7" t="s">
        <v>6132</v>
      </c>
      <c r="K1102" s="7" t="s">
        <v>17</v>
      </c>
      <c r="O1102" s="7"/>
    </row>
    <row r="1103" spans="1:15" ht="15" x14ac:dyDescent="0.25">
      <c r="A1103" t="s">
        <v>6133</v>
      </c>
      <c r="B1103" s="8" t="s">
        <v>6134</v>
      </c>
      <c r="C1103" s="8" t="s">
        <v>6135</v>
      </c>
      <c r="E1103" s="7" t="s">
        <v>6136</v>
      </c>
      <c r="G1103" s="7" t="s">
        <v>6137</v>
      </c>
      <c r="K1103" s="7" t="s">
        <v>17</v>
      </c>
      <c r="O1103" s="7" t="s">
        <v>6242</v>
      </c>
    </row>
    <row r="1104" spans="1:15" ht="15" x14ac:dyDescent="0.25">
      <c r="A1104" t="s">
        <v>1886</v>
      </c>
      <c r="B1104" s="8" t="s">
        <v>6138</v>
      </c>
      <c r="C1104" s="8" t="s">
        <v>6139</v>
      </c>
      <c r="E1104" s="7" t="s">
        <v>6140</v>
      </c>
      <c r="G1104" s="7" t="s">
        <v>6141</v>
      </c>
      <c r="K1104" s="7" t="s">
        <v>17</v>
      </c>
      <c r="O1104" s="7" t="s">
        <v>6242</v>
      </c>
    </row>
    <row r="1105" spans="1:19" ht="15" x14ac:dyDescent="0.25">
      <c r="A1105" t="s">
        <v>6143</v>
      </c>
      <c r="B1105" s="8" t="s">
        <v>6142</v>
      </c>
      <c r="C1105" s="8" t="s">
        <v>6144</v>
      </c>
      <c r="E1105" s="7" t="s">
        <v>6145</v>
      </c>
      <c r="G1105" s="7" t="s">
        <v>6146</v>
      </c>
      <c r="K1105" s="7" t="s">
        <v>17</v>
      </c>
      <c r="O1105" s="7"/>
    </row>
    <row r="1106" spans="1:19" ht="15" x14ac:dyDescent="0.25">
      <c r="A1106" s="7" t="s">
        <v>26</v>
      </c>
      <c r="B1106" s="7" t="str">
        <f>B1105&amp;"x"</f>
        <v>wat27x</v>
      </c>
      <c r="C1106" s="7" t="s">
        <v>6061</v>
      </c>
      <c r="D1106"/>
      <c r="E1106" s="7" t="s">
        <v>2317</v>
      </c>
      <c r="F1106"/>
      <c r="G1106" s="7" t="s">
        <v>5591</v>
      </c>
      <c r="H1106"/>
      <c r="I1106" s="63"/>
      <c r="J1106" s="7"/>
      <c r="K1106" s="7" t="s">
        <v>17</v>
      </c>
      <c r="O1106" s="7" t="str">
        <f>"${"&amp;B1105&amp;"}=96"</f>
        <v>${wat27}=96</v>
      </c>
    </row>
    <row r="1107" spans="1:19" ht="15" x14ac:dyDescent="0.25">
      <c r="A1107" t="s">
        <v>1886</v>
      </c>
      <c r="B1107" s="8" t="s">
        <v>6147</v>
      </c>
      <c r="C1107" s="8" t="s">
        <v>6148</v>
      </c>
      <c r="E1107" s="7" t="s">
        <v>6149</v>
      </c>
      <c r="G1107" s="7" t="s">
        <v>6150</v>
      </c>
      <c r="K1107" s="7" t="s">
        <v>17</v>
      </c>
      <c r="O1107" s="7"/>
    </row>
    <row r="1108" spans="1:19" ht="15" x14ac:dyDescent="0.25">
      <c r="A1108" t="s">
        <v>6221</v>
      </c>
      <c r="B1108" s="8" t="s">
        <v>6220</v>
      </c>
      <c r="C1108" s="8" t="s">
        <v>6144</v>
      </c>
      <c r="E1108" s="7" t="s">
        <v>6145</v>
      </c>
      <c r="G1108" s="7" t="s">
        <v>6146</v>
      </c>
      <c r="K1108" s="7" t="s">
        <v>17</v>
      </c>
      <c r="O1108" s="7" t="s">
        <v>6243</v>
      </c>
    </row>
    <row r="1109" spans="1:19" ht="15" x14ac:dyDescent="0.25">
      <c r="A1109" s="7" t="s">
        <v>26</v>
      </c>
      <c r="B1109" s="7" t="str">
        <f>B1108&amp;"x"</f>
        <v>wat28_1x</v>
      </c>
      <c r="C1109" s="7" t="s">
        <v>6061</v>
      </c>
      <c r="D1109"/>
      <c r="E1109" s="7" t="s">
        <v>2317</v>
      </c>
      <c r="F1109"/>
      <c r="G1109" s="7" t="s">
        <v>5591</v>
      </c>
      <c r="H1109"/>
      <c r="I1109" s="63"/>
      <c r="J1109" s="7"/>
      <c r="K1109" s="7" t="s">
        <v>17</v>
      </c>
      <c r="O1109" s="7" t="str">
        <f>"${"&amp;B1108&amp;"}=96"</f>
        <v>${wat28_1}=96</v>
      </c>
    </row>
    <row r="1111" spans="1:19" s="150" customFormat="1" ht="15" x14ac:dyDescent="0.25">
      <c r="A1111" s="151" t="s">
        <v>48</v>
      </c>
      <c r="B1111" s="149" t="s">
        <v>5837</v>
      </c>
      <c r="C1111" s="152"/>
      <c r="D1111" s="152"/>
      <c r="E1111" s="152"/>
      <c r="F1111" s="152"/>
      <c r="G1111" s="152"/>
      <c r="H1111" s="152"/>
      <c r="I1111" s="151"/>
      <c r="J1111" s="151"/>
      <c r="K1111" s="151"/>
      <c r="L1111" s="151"/>
      <c r="M1111" s="151"/>
      <c r="N1111" s="151"/>
      <c r="O1111" s="151"/>
      <c r="P1111" s="151"/>
      <c r="Q1111" s="151"/>
      <c r="R1111" s="151"/>
      <c r="S1111" s="151"/>
    </row>
    <row r="1114" spans="1:19" s="105" customFormat="1" ht="18.75" x14ac:dyDescent="0.25">
      <c r="A1114" s="65" t="s">
        <v>16</v>
      </c>
      <c r="B1114" s="65" t="s">
        <v>487</v>
      </c>
      <c r="C1114" s="65" t="s">
        <v>2930</v>
      </c>
      <c r="D1114" s="64"/>
      <c r="E1114" s="65" t="s">
        <v>494</v>
      </c>
      <c r="F1114" s="64"/>
      <c r="G1114" s="65" t="s">
        <v>494</v>
      </c>
      <c r="H1114" s="64"/>
      <c r="I1114" s="65"/>
      <c r="J1114" s="35"/>
      <c r="K1114" s="35"/>
      <c r="L1114" s="35"/>
      <c r="M1114" s="35"/>
      <c r="N1114" s="35"/>
      <c r="O1114" s="35" t="s">
        <v>29</v>
      </c>
      <c r="P1114" s="35"/>
      <c r="Q1114" s="35"/>
      <c r="R1114" s="35"/>
      <c r="S1114" s="35"/>
    </row>
    <row r="1115" spans="1:19" x14ac:dyDescent="0.2">
      <c r="A1115" s="25" t="s">
        <v>21</v>
      </c>
      <c r="B1115" s="25" t="s">
        <v>344</v>
      </c>
      <c r="C1115" s="25"/>
      <c r="D1115" s="26"/>
      <c r="E1115" s="25"/>
      <c r="F1115" s="26"/>
      <c r="G1115" s="25"/>
      <c r="H1115" s="26"/>
      <c r="I1115" s="25"/>
      <c r="J1115" s="25"/>
      <c r="K1115" s="25"/>
      <c r="L1115" s="25"/>
      <c r="M1115" s="25" t="s">
        <v>430</v>
      </c>
      <c r="N1115" s="25"/>
      <c r="O1115" s="25"/>
      <c r="P1115" s="25"/>
      <c r="Q1115" s="25"/>
      <c r="R1115" s="25"/>
      <c r="S1115" s="25"/>
    </row>
    <row r="1116" spans="1:19" x14ac:dyDescent="0.2">
      <c r="A1116" s="7" t="s">
        <v>1886</v>
      </c>
      <c r="B1116" s="7" t="s">
        <v>1850</v>
      </c>
      <c r="C1116" s="7" t="s">
        <v>2931</v>
      </c>
      <c r="D1116" s="24"/>
      <c r="E1116" s="7" t="s">
        <v>2932</v>
      </c>
      <c r="G1116" s="7" t="s">
        <v>2933</v>
      </c>
      <c r="I1116" s="7"/>
      <c r="J1116" s="7"/>
      <c r="K1116" s="7" t="s">
        <v>17</v>
      </c>
    </row>
    <row r="1117" spans="1:19" x14ac:dyDescent="0.2">
      <c r="A1117" s="7" t="s">
        <v>2934</v>
      </c>
      <c r="B1117" s="7" t="s">
        <v>1851</v>
      </c>
      <c r="C1117" s="7" t="s">
        <v>2935</v>
      </c>
      <c r="D1117" s="24"/>
      <c r="E1117" s="7" t="s">
        <v>2936</v>
      </c>
      <c r="G1117" s="7" t="s">
        <v>2937</v>
      </c>
      <c r="I1117" s="7"/>
      <c r="J1117" s="7"/>
      <c r="K1117" s="7" t="s">
        <v>17</v>
      </c>
      <c r="O1117" s="7" t="s">
        <v>1849</v>
      </c>
      <c r="R1117" s="36" t="s">
        <v>1907</v>
      </c>
    </row>
    <row r="1118" spans="1:19" x14ac:dyDescent="0.2">
      <c r="A1118" s="7" t="s">
        <v>26</v>
      </c>
      <c r="B1118" s="7" t="s">
        <v>1852</v>
      </c>
      <c r="C1118" s="7" t="s">
        <v>2938</v>
      </c>
      <c r="D1118" s="24"/>
      <c r="E1118" s="7" t="s">
        <v>2939</v>
      </c>
      <c r="G1118" s="7" t="s">
        <v>2940</v>
      </c>
      <c r="H1118" s="24" t="s">
        <v>899</v>
      </c>
      <c r="I1118" s="63" t="s">
        <v>1847</v>
      </c>
      <c r="J1118" s="7" t="s">
        <v>1848</v>
      </c>
      <c r="K1118" s="7" t="s">
        <v>17</v>
      </c>
      <c r="O1118" s="7" t="s">
        <v>1849</v>
      </c>
    </row>
    <row r="1119" spans="1:19" x14ac:dyDescent="0.2">
      <c r="A1119" s="7" t="s">
        <v>26</v>
      </c>
      <c r="B1119" s="7" t="s">
        <v>1853</v>
      </c>
      <c r="C1119" s="7" t="s">
        <v>2941</v>
      </c>
      <c r="D1119" s="24" t="s">
        <v>580</v>
      </c>
      <c r="E1119" s="7" t="s">
        <v>2942</v>
      </c>
      <c r="F1119" s="24" t="s">
        <v>579</v>
      </c>
      <c r="G1119" s="7" t="s">
        <v>2943</v>
      </c>
      <c r="H1119" s="24" t="s">
        <v>3051</v>
      </c>
      <c r="I1119" s="63" t="s">
        <v>1847</v>
      </c>
      <c r="J1119" s="7" t="s">
        <v>1848</v>
      </c>
      <c r="K1119" s="7"/>
      <c r="O1119" s="7"/>
    </row>
    <row r="1120" spans="1:19" x14ac:dyDescent="0.2">
      <c r="A1120" s="7" t="s">
        <v>2944</v>
      </c>
      <c r="B1120" s="7" t="s">
        <v>1854</v>
      </c>
      <c r="C1120" s="7" t="s">
        <v>2945</v>
      </c>
      <c r="D1120" s="24"/>
      <c r="E1120" s="7" t="s">
        <v>2946</v>
      </c>
      <c r="G1120" s="7" t="s">
        <v>2947</v>
      </c>
      <c r="I1120" s="63"/>
      <c r="J1120" s="7"/>
      <c r="K1120" s="7" t="s">
        <v>17</v>
      </c>
      <c r="O1120" s="7"/>
    </row>
    <row r="1121" spans="1:19" x14ac:dyDescent="0.2">
      <c r="A1121" s="7" t="s">
        <v>2948</v>
      </c>
      <c r="B1121" s="7" t="s">
        <v>1855</v>
      </c>
      <c r="C1121" s="7" t="s">
        <v>2965</v>
      </c>
      <c r="D1121" s="24"/>
      <c r="E1121" s="7" t="s">
        <v>2966</v>
      </c>
      <c r="F1121" s="24" t="s">
        <v>833</v>
      </c>
      <c r="G1121" s="7" t="s">
        <v>2966</v>
      </c>
      <c r="I1121" s="63"/>
      <c r="J1121" s="7"/>
      <c r="K1121" s="7" t="s">
        <v>17</v>
      </c>
      <c r="L1121" s="13"/>
      <c r="M1121" s="13"/>
      <c r="N1121" s="13"/>
      <c r="O1121" s="13"/>
      <c r="P1121" s="13" t="s">
        <v>831</v>
      </c>
      <c r="Q1121" s="13"/>
      <c r="R1121" s="13"/>
      <c r="S1121" s="13"/>
    </row>
    <row r="1122" spans="1:19" x14ac:dyDescent="0.2">
      <c r="A1122" s="25" t="s">
        <v>21</v>
      </c>
      <c r="B1122" s="25" t="s">
        <v>340</v>
      </c>
      <c r="C1122" s="25"/>
      <c r="D1122" s="26"/>
      <c r="E1122" s="25"/>
      <c r="F1122" s="26"/>
      <c r="G1122" s="25"/>
      <c r="H1122" s="26"/>
      <c r="I1122" s="25"/>
      <c r="J1122" s="25"/>
      <c r="K1122" s="25"/>
      <c r="L1122" s="25"/>
      <c r="M1122" s="25" t="s">
        <v>1861</v>
      </c>
      <c r="N1122" s="25"/>
      <c r="O1122" s="25"/>
      <c r="P1122" s="25"/>
      <c r="Q1122" s="25"/>
      <c r="R1122" s="25"/>
      <c r="S1122" s="25"/>
    </row>
    <row r="1123" spans="1:19" ht="18.75" x14ac:dyDescent="0.2">
      <c r="A1123" s="35" t="s">
        <v>48</v>
      </c>
      <c r="B1123" s="65" t="s">
        <v>487</v>
      </c>
      <c r="C1123" s="35"/>
      <c r="D1123" s="83"/>
      <c r="E1123" s="65"/>
      <c r="F1123" s="64"/>
      <c r="G1123" s="65"/>
      <c r="H1123" s="64"/>
      <c r="I1123" s="35"/>
      <c r="J1123" s="35"/>
      <c r="K1123" s="35"/>
      <c r="L1123" s="35"/>
      <c r="M1123" s="35"/>
      <c r="N1123" s="35"/>
      <c r="O1123" s="35"/>
      <c r="P1123" s="35"/>
      <c r="Q1123" s="35"/>
      <c r="R1123" s="35"/>
      <c r="S1123" s="35"/>
    </row>
  </sheetData>
  <autoFilter ref="A1:U758" xr:uid="{00000000-0001-0000-0000-000000000000}"/>
  <phoneticPr fontId="13" type="noConversion"/>
  <conditionalFormatting sqref="B12">
    <cfRule type="duplicateValues" dxfId="63" priority="141"/>
  </conditionalFormatting>
  <conditionalFormatting sqref="B595">
    <cfRule type="duplicateValues" dxfId="62" priority="33"/>
  </conditionalFormatting>
  <conditionalFormatting sqref="B596">
    <cfRule type="duplicateValues" dxfId="61" priority="34"/>
  </conditionalFormatting>
  <conditionalFormatting sqref="B604">
    <cfRule type="duplicateValues" dxfId="60" priority="32"/>
  </conditionalFormatting>
  <conditionalFormatting sqref="B781 B783">
    <cfRule type="duplicateValues" dxfId="59" priority="140"/>
  </conditionalFormatting>
  <conditionalFormatting sqref="B782">
    <cfRule type="duplicateValues" dxfId="58" priority="135"/>
  </conditionalFormatting>
  <conditionalFormatting sqref="B787:B788">
    <cfRule type="duplicateValues" dxfId="57" priority="133"/>
  </conditionalFormatting>
  <conditionalFormatting sqref="B789">
    <cfRule type="duplicateValues" dxfId="56" priority="137"/>
  </conditionalFormatting>
  <conditionalFormatting sqref="B793:B794">
    <cfRule type="duplicateValues" dxfId="55" priority="136"/>
  </conditionalFormatting>
  <conditionalFormatting sqref="B795">
    <cfRule type="duplicateValues" dxfId="54" priority="132"/>
  </conditionalFormatting>
  <conditionalFormatting sqref="B799">
    <cfRule type="duplicateValues" dxfId="53" priority="131"/>
  </conditionalFormatting>
  <conditionalFormatting sqref="B805:B806">
    <cfRule type="duplicateValues" dxfId="52" priority="139"/>
  </conditionalFormatting>
  <conditionalFormatting sqref="B807">
    <cfRule type="duplicateValues" dxfId="51" priority="130"/>
  </conditionalFormatting>
  <conditionalFormatting sqref="B819">
    <cfRule type="duplicateValues" dxfId="50" priority="129"/>
  </conditionalFormatting>
  <conditionalFormatting sqref="B821">
    <cfRule type="duplicateValues" dxfId="49" priority="128"/>
  </conditionalFormatting>
  <conditionalFormatting sqref="B822">
    <cfRule type="duplicateValues" dxfId="48" priority="127"/>
  </conditionalFormatting>
  <conditionalFormatting sqref="B826">
    <cfRule type="duplicateValues" dxfId="47" priority="126"/>
  </conditionalFormatting>
  <conditionalFormatting sqref="B832">
    <cfRule type="duplicateValues" dxfId="46" priority="125"/>
  </conditionalFormatting>
  <conditionalFormatting sqref="B842:B843">
    <cfRule type="duplicateValues" dxfId="45" priority="122"/>
    <cfRule type="duplicateValues" dxfId="44" priority="121"/>
  </conditionalFormatting>
  <conditionalFormatting sqref="B844">
    <cfRule type="duplicateValues" dxfId="43" priority="120"/>
  </conditionalFormatting>
  <conditionalFormatting sqref="B845">
    <cfRule type="duplicateValues" dxfId="42" priority="124"/>
  </conditionalFormatting>
  <conditionalFormatting sqref="B869">
    <cfRule type="duplicateValues" dxfId="41" priority="123"/>
  </conditionalFormatting>
  <conditionalFormatting sqref="B879">
    <cfRule type="duplicateValues" dxfId="40" priority="119"/>
    <cfRule type="duplicateValues" dxfId="39" priority="118"/>
  </conditionalFormatting>
  <conditionalFormatting sqref="B882">
    <cfRule type="duplicateValues" dxfId="38" priority="115"/>
  </conditionalFormatting>
  <conditionalFormatting sqref="B886">
    <cfRule type="duplicateValues" dxfId="37" priority="117"/>
  </conditionalFormatting>
  <conditionalFormatting sqref="B910">
    <cfRule type="duplicateValues" dxfId="36" priority="116"/>
  </conditionalFormatting>
  <conditionalFormatting sqref="B917">
    <cfRule type="duplicateValues" dxfId="35" priority="114"/>
    <cfRule type="duplicateValues" dxfId="34" priority="113"/>
  </conditionalFormatting>
  <conditionalFormatting sqref="B971">
    <cfRule type="duplicateValues" dxfId="33" priority="40"/>
    <cfRule type="duplicateValues" dxfId="32" priority="39"/>
  </conditionalFormatting>
  <conditionalFormatting sqref="B973">
    <cfRule type="duplicateValues" dxfId="31" priority="38"/>
    <cfRule type="duplicateValues" dxfId="30" priority="37"/>
  </conditionalFormatting>
  <conditionalFormatting sqref="B989">
    <cfRule type="duplicateValues" dxfId="29" priority="30"/>
    <cfRule type="duplicateValues" dxfId="28" priority="31"/>
  </conditionalFormatting>
  <conditionalFormatting sqref="B993">
    <cfRule type="duplicateValues" dxfId="27" priority="27"/>
    <cfRule type="duplicateValues" dxfId="26" priority="26"/>
  </conditionalFormatting>
  <conditionalFormatting sqref="B995">
    <cfRule type="duplicateValues" dxfId="25" priority="25"/>
    <cfRule type="duplicateValues" dxfId="24" priority="24"/>
  </conditionalFormatting>
  <conditionalFormatting sqref="B999">
    <cfRule type="duplicateValues" dxfId="23" priority="23"/>
    <cfRule type="duplicateValues" dxfId="22" priority="22"/>
  </conditionalFormatting>
  <conditionalFormatting sqref="B1001">
    <cfRule type="duplicateValues" dxfId="21" priority="20"/>
  </conditionalFormatting>
  <conditionalFormatting sqref="B1005">
    <cfRule type="duplicateValues" dxfId="20" priority="19"/>
    <cfRule type="duplicateValues" dxfId="19" priority="18"/>
  </conditionalFormatting>
  <conditionalFormatting sqref="B1007">
    <cfRule type="duplicateValues" dxfId="18" priority="17"/>
  </conditionalFormatting>
  <conditionalFormatting sqref="B1011">
    <cfRule type="duplicateValues" dxfId="17" priority="16"/>
    <cfRule type="duplicateValues" dxfId="16" priority="15"/>
  </conditionalFormatting>
  <conditionalFormatting sqref="B1013">
    <cfRule type="duplicateValues" dxfId="15" priority="14"/>
  </conditionalFormatting>
  <conditionalFormatting sqref="B1017">
    <cfRule type="duplicateValues" dxfId="14" priority="13"/>
    <cfRule type="duplicateValues" dxfId="13" priority="12"/>
  </conditionalFormatting>
  <conditionalFormatting sqref="B1020">
    <cfRule type="duplicateValues" dxfId="12" priority="11"/>
  </conditionalFormatting>
  <conditionalFormatting sqref="B1024">
    <cfRule type="duplicateValues" dxfId="11" priority="10"/>
    <cfRule type="duplicateValues" dxfId="10" priority="9"/>
  </conditionalFormatting>
  <conditionalFormatting sqref="B1041">
    <cfRule type="duplicateValues" dxfId="9" priority="8"/>
    <cfRule type="duplicateValues" dxfId="8" priority="7"/>
  </conditionalFormatting>
  <conditionalFormatting sqref="B1044">
    <cfRule type="duplicateValues" dxfId="7" priority="6"/>
    <cfRule type="duplicateValues" dxfId="6" priority="5"/>
  </conditionalFormatting>
  <conditionalFormatting sqref="B1070">
    <cfRule type="duplicateValues" dxfId="5" priority="4"/>
    <cfRule type="duplicateValues" dxfId="4" priority="3"/>
  </conditionalFormatting>
  <conditionalFormatting sqref="B1098">
    <cfRule type="duplicateValues" dxfId="3" priority="1"/>
    <cfRule type="duplicateValues" dxfId="2" priority="2"/>
  </conditionalFormatting>
  <conditionalFormatting sqref="B1112:B1048576 B1:B841 B844:B963 B1029:B1034 B1036:B1040 B1042:B1043 B1045:B1055 B1067:B1069 B1060:B1062 B1071:B1079 B1084:B1097 B1099:B1110">
    <cfRule type="duplicateValues" dxfId="1" priority="134"/>
  </conditionalFormatting>
  <conditionalFormatting sqref="B1112:B1048576 B846:B868 B823:B825 B820 B1:B11 B784:B786 B790:B792 B796:B798 B800:B804 B808:B818 B827:B831 B833:B841 B870:B878 B880:B881 B887:B909 B911:B916 B883:B885 B13:B594 B597:B603 B605:B780 B918:B963 B1029:B1034 B1036:B1040 B1042:B1043 B1045:B1055 B1067:B1069 B1060:B1062 B1071:B1079 B1084:B1097 B1099:B1110">
    <cfRule type="duplicateValues" dxfId="0" priority="143"/>
  </conditionalFormatting>
  <pageMargins left="0.7" right="0.7" top="0.75" bottom="0.75" header="0.3" footer="0.3"/>
  <pageSetup paperSize="9" orientation="portrait"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40"/>
  <sheetViews>
    <sheetView zoomScaleNormal="100" workbookViewId="0">
      <pane ySplit="1" topLeftCell="A1516" activePane="bottomLeft" state="frozen"/>
      <selection activeCell="F1194" sqref="F1194"/>
      <selection pane="bottomLeft" activeCell="A1515" sqref="A1515"/>
    </sheetView>
  </sheetViews>
  <sheetFormatPr defaultColWidth="8.42578125" defaultRowHeight="12.75" x14ac:dyDescent="0.25"/>
  <cols>
    <col min="1" max="1" width="24.42578125" style="8" customWidth="1"/>
    <col min="2" max="2" width="12.28515625" style="8" bestFit="1" customWidth="1"/>
    <col min="3" max="3" width="22" style="8" customWidth="1"/>
    <col min="4" max="4" width="18" style="8" customWidth="1"/>
    <col min="5" max="5" width="33.28515625" style="8" customWidth="1"/>
    <col min="6" max="6" width="19.42578125" style="8" bestFit="1" customWidth="1"/>
    <col min="7" max="7" width="15.7109375" style="8" bestFit="1" customWidth="1"/>
    <col min="8" max="8" width="12.7109375" style="8" bestFit="1" customWidth="1"/>
    <col min="9" max="9" width="12.140625" style="8" customWidth="1"/>
    <col min="10" max="10" width="46.140625" style="7" bestFit="1" customWidth="1"/>
    <col min="11" max="11" width="41.42578125" style="7" bestFit="1" customWidth="1"/>
    <col min="12" max="16384" width="8.42578125" style="7"/>
  </cols>
  <sheetData>
    <row r="1" spans="1:9" s="14" customFormat="1" ht="18" x14ac:dyDescent="0.25">
      <c r="A1" s="49" t="s">
        <v>66</v>
      </c>
      <c r="B1" s="49" t="s">
        <v>1</v>
      </c>
      <c r="C1" s="49" t="s">
        <v>2</v>
      </c>
      <c r="D1" s="49" t="s">
        <v>4</v>
      </c>
      <c r="E1" s="49" t="s">
        <v>991</v>
      </c>
      <c r="F1" s="49" t="s">
        <v>67</v>
      </c>
      <c r="G1" s="49" t="s">
        <v>250</v>
      </c>
      <c r="H1" s="49" t="s">
        <v>596</v>
      </c>
      <c r="I1" s="49" t="s">
        <v>832</v>
      </c>
    </row>
    <row r="2" spans="1:9" x14ac:dyDescent="0.25">
      <c r="A2" s="10"/>
      <c r="B2" s="9"/>
      <c r="C2" s="10"/>
      <c r="D2" s="9"/>
      <c r="E2" s="9"/>
      <c r="F2" s="9"/>
      <c r="G2" s="10"/>
      <c r="H2" s="10"/>
      <c r="I2" s="10"/>
    </row>
    <row r="3" spans="1:9" x14ac:dyDescent="0.25">
      <c r="A3" s="51" t="s">
        <v>3255</v>
      </c>
      <c r="B3" s="52" t="s">
        <v>68</v>
      </c>
      <c r="C3" s="16" t="s">
        <v>3622</v>
      </c>
      <c r="D3" s="16" t="s">
        <v>3314</v>
      </c>
      <c r="E3" s="16" t="s">
        <v>3314</v>
      </c>
      <c r="F3" s="7"/>
    </row>
    <row r="4" spans="1:9" x14ac:dyDescent="0.25">
      <c r="A4" s="51" t="s">
        <v>3255</v>
      </c>
      <c r="B4" s="52" t="s">
        <v>69</v>
      </c>
      <c r="C4" s="16" t="s">
        <v>3623</v>
      </c>
      <c r="D4" s="16" t="s">
        <v>3320</v>
      </c>
      <c r="E4" s="16" t="s">
        <v>3320</v>
      </c>
      <c r="F4" s="7"/>
    </row>
    <row r="5" spans="1:9" x14ac:dyDescent="0.25">
      <c r="A5" s="51" t="s">
        <v>3255</v>
      </c>
      <c r="B5" s="52" t="s">
        <v>70</v>
      </c>
      <c r="C5" s="16" t="s">
        <v>3744</v>
      </c>
      <c r="D5" s="16" t="s">
        <v>3743</v>
      </c>
      <c r="E5" s="16" t="s">
        <v>3743</v>
      </c>
      <c r="F5" s="7"/>
    </row>
    <row r="6" spans="1:9" x14ac:dyDescent="0.25">
      <c r="A6" s="51" t="s">
        <v>3255</v>
      </c>
      <c r="B6" s="52" t="s">
        <v>71</v>
      </c>
      <c r="C6" s="16" t="s">
        <v>4409</v>
      </c>
      <c r="D6" s="16" t="s">
        <v>4410</v>
      </c>
      <c r="E6" s="16" t="s">
        <v>4410</v>
      </c>
      <c r="F6" s="7"/>
    </row>
    <row r="7" spans="1:9" x14ac:dyDescent="0.25">
      <c r="A7" s="51" t="s">
        <v>3255</v>
      </c>
      <c r="B7" s="52" t="s">
        <v>4406</v>
      </c>
      <c r="C7" s="16" t="s">
        <v>4404</v>
      </c>
      <c r="D7" s="16" t="s">
        <v>4405</v>
      </c>
      <c r="E7" s="16" t="s">
        <v>4405</v>
      </c>
      <c r="F7" s="7"/>
    </row>
    <row r="8" spans="1:9" x14ac:dyDescent="0.25">
      <c r="A8" s="51" t="s">
        <v>3255</v>
      </c>
      <c r="B8" s="52" t="s">
        <v>4407</v>
      </c>
      <c r="C8" s="16" t="s">
        <v>4411</v>
      </c>
      <c r="D8" s="16" t="s">
        <v>4413</v>
      </c>
      <c r="E8" s="16" t="s">
        <v>4413</v>
      </c>
      <c r="F8" s="7"/>
    </row>
    <row r="9" spans="1:9" x14ac:dyDescent="0.25">
      <c r="A9" s="51" t="s">
        <v>3255</v>
      </c>
      <c r="B9" s="52" t="s">
        <v>4408</v>
      </c>
      <c r="C9" s="16" t="s">
        <v>4412</v>
      </c>
      <c r="D9" s="16" t="s">
        <v>1728</v>
      </c>
      <c r="E9" s="16" t="s">
        <v>1728</v>
      </c>
      <c r="F9" s="7"/>
    </row>
    <row r="10" spans="1:9" x14ac:dyDescent="0.25">
      <c r="A10" s="9"/>
      <c r="B10" s="9"/>
      <c r="C10" s="9"/>
      <c r="D10" s="9"/>
      <c r="E10" s="9"/>
      <c r="F10" s="9"/>
      <c r="G10" s="9"/>
      <c r="H10" s="9"/>
      <c r="I10" s="10"/>
    </row>
    <row r="11" spans="1:9" x14ac:dyDescent="0.25">
      <c r="A11" s="8" t="s">
        <v>1887</v>
      </c>
      <c r="B11" s="7">
        <v>1</v>
      </c>
      <c r="C11" s="8" t="s">
        <v>81</v>
      </c>
      <c r="D11" s="7" t="s">
        <v>82</v>
      </c>
      <c r="E11" s="15" t="s">
        <v>1020</v>
      </c>
    </row>
    <row r="12" spans="1:9" x14ac:dyDescent="0.25">
      <c r="A12" s="8" t="s">
        <v>1887</v>
      </c>
      <c r="B12" s="7">
        <v>2</v>
      </c>
      <c r="C12" s="8" t="s">
        <v>83</v>
      </c>
      <c r="D12" s="7" t="s">
        <v>84</v>
      </c>
      <c r="E12" s="8" t="s">
        <v>1021</v>
      </c>
    </row>
    <row r="13" spans="1:9" x14ac:dyDescent="0.25">
      <c r="A13" s="10"/>
      <c r="B13" s="9"/>
      <c r="C13" s="10"/>
      <c r="D13" s="9"/>
      <c r="E13" s="10"/>
      <c r="F13" s="10"/>
      <c r="G13" s="10"/>
      <c r="H13" s="10"/>
      <c r="I13" s="10"/>
    </row>
    <row r="14" spans="1:9" x14ac:dyDescent="0.25">
      <c r="A14" s="8" t="s">
        <v>1889</v>
      </c>
      <c r="B14" s="7">
        <v>1</v>
      </c>
      <c r="C14" s="8" t="s">
        <v>72</v>
      </c>
      <c r="D14" s="7" t="s">
        <v>73</v>
      </c>
      <c r="E14" s="7" t="s">
        <v>999</v>
      </c>
    </row>
    <row r="15" spans="1:9" x14ac:dyDescent="0.25">
      <c r="A15" s="8" t="s">
        <v>1889</v>
      </c>
      <c r="B15" s="7">
        <v>2</v>
      </c>
      <c r="C15" s="8" t="s">
        <v>74</v>
      </c>
      <c r="D15" s="7" t="s">
        <v>75</v>
      </c>
      <c r="E15" s="7" t="s">
        <v>1000</v>
      </c>
    </row>
    <row r="16" spans="1:9" x14ac:dyDescent="0.25">
      <c r="A16" s="8" t="s">
        <v>1889</v>
      </c>
      <c r="B16" s="7">
        <v>3</v>
      </c>
      <c r="C16" s="8" t="s">
        <v>76</v>
      </c>
      <c r="D16" s="7" t="s">
        <v>77</v>
      </c>
      <c r="E16" s="7" t="s">
        <v>1001</v>
      </c>
    </row>
    <row r="17" spans="1:9" x14ac:dyDescent="0.25">
      <c r="A17" s="8" t="s">
        <v>1889</v>
      </c>
      <c r="B17" s="7">
        <v>4</v>
      </c>
      <c r="C17" s="8" t="s">
        <v>695</v>
      </c>
      <c r="D17" s="7" t="s">
        <v>696</v>
      </c>
      <c r="E17" s="7" t="s">
        <v>1002</v>
      </c>
    </row>
    <row r="18" spans="1:9" x14ac:dyDescent="0.25">
      <c r="A18" s="8" t="s">
        <v>1889</v>
      </c>
      <c r="B18" s="7">
        <v>5</v>
      </c>
      <c r="C18" s="8" t="s">
        <v>1008</v>
      </c>
      <c r="D18" s="7" t="s">
        <v>1007</v>
      </c>
      <c r="E18" s="7" t="s">
        <v>1003</v>
      </c>
    </row>
    <row r="19" spans="1:9" x14ac:dyDescent="0.25">
      <c r="A19" s="8" t="s">
        <v>1889</v>
      </c>
      <c r="B19" s="7">
        <v>6</v>
      </c>
      <c r="C19" s="8" t="s">
        <v>697</v>
      </c>
      <c r="D19" s="7" t="s">
        <v>568</v>
      </c>
      <c r="E19" s="7" t="s">
        <v>1004</v>
      </c>
    </row>
    <row r="20" spans="1:9" x14ac:dyDescent="0.25">
      <c r="A20" s="8" t="s">
        <v>1889</v>
      </c>
      <c r="B20" s="7">
        <v>7</v>
      </c>
      <c r="C20" s="8" t="s">
        <v>698</v>
      </c>
      <c r="D20" s="7" t="s">
        <v>569</v>
      </c>
      <c r="E20" s="7" t="s">
        <v>1005</v>
      </c>
    </row>
    <row r="21" spans="1:9" x14ac:dyDescent="0.25">
      <c r="A21" s="8" t="s">
        <v>1889</v>
      </c>
      <c r="B21" s="7">
        <v>96</v>
      </c>
      <c r="C21" s="7" t="s">
        <v>78</v>
      </c>
      <c r="D21" s="7" t="s">
        <v>79</v>
      </c>
      <c r="E21" s="7" t="s">
        <v>1006</v>
      </c>
    </row>
    <row r="22" spans="1:9" x14ac:dyDescent="0.25">
      <c r="A22" s="9"/>
      <c r="B22" s="9"/>
      <c r="C22" s="9"/>
      <c r="D22" s="9"/>
      <c r="E22" s="9"/>
      <c r="F22" s="10"/>
      <c r="G22" s="10"/>
      <c r="H22" s="10"/>
      <c r="I22" s="10"/>
    </row>
    <row r="23" spans="1:9" x14ac:dyDescent="0.25">
      <c r="A23" s="8" t="s">
        <v>1891</v>
      </c>
      <c r="B23" s="7">
        <v>1</v>
      </c>
      <c r="C23" s="16" t="s">
        <v>527</v>
      </c>
      <c r="D23" s="16" t="s">
        <v>527</v>
      </c>
      <c r="E23" s="16" t="s">
        <v>527</v>
      </c>
      <c r="F23" s="7"/>
      <c r="G23" s="7">
        <v>1</v>
      </c>
    </row>
    <row r="24" spans="1:9" x14ac:dyDescent="0.25">
      <c r="A24" s="8" t="s">
        <v>1891</v>
      </c>
      <c r="B24" s="7">
        <v>2</v>
      </c>
      <c r="C24" s="16" t="s">
        <v>528</v>
      </c>
      <c r="D24" s="16" t="s">
        <v>528</v>
      </c>
      <c r="E24" s="16" t="s">
        <v>528</v>
      </c>
      <c r="F24" s="7"/>
      <c r="G24" s="7">
        <v>2</v>
      </c>
    </row>
    <row r="25" spans="1:9" x14ac:dyDescent="0.25">
      <c r="A25" s="8" t="s">
        <v>1891</v>
      </c>
      <c r="B25" s="7">
        <v>3</v>
      </c>
      <c r="C25" s="16" t="s">
        <v>529</v>
      </c>
      <c r="D25" s="16" t="s">
        <v>529</v>
      </c>
      <c r="E25" s="16" t="s">
        <v>529</v>
      </c>
      <c r="F25" s="7"/>
      <c r="G25" s="7">
        <v>3</v>
      </c>
    </row>
    <row r="26" spans="1:9" x14ac:dyDescent="0.25">
      <c r="A26" s="8" t="s">
        <v>1891</v>
      </c>
      <c r="B26" s="7">
        <v>4</v>
      </c>
      <c r="C26" s="16" t="s">
        <v>530</v>
      </c>
      <c r="D26" s="16" t="s">
        <v>530</v>
      </c>
      <c r="E26" s="16" t="s">
        <v>530</v>
      </c>
      <c r="F26" s="7"/>
      <c r="G26" s="7">
        <v>4</v>
      </c>
    </row>
    <row r="27" spans="1:9" x14ac:dyDescent="0.25">
      <c r="A27" s="8" t="s">
        <v>1891</v>
      </c>
      <c r="B27" s="7">
        <v>5</v>
      </c>
      <c r="C27" s="16" t="s">
        <v>531</v>
      </c>
      <c r="D27" s="16" t="s">
        <v>531</v>
      </c>
      <c r="E27" s="16" t="s">
        <v>531</v>
      </c>
      <c r="F27" s="7"/>
      <c r="G27" s="7">
        <v>5</v>
      </c>
    </row>
    <row r="28" spans="1:9" x14ac:dyDescent="0.25">
      <c r="A28" s="8" t="s">
        <v>1891</v>
      </c>
      <c r="B28" s="7">
        <v>6</v>
      </c>
      <c r="C28" s="16" t="s">
        <v>532</v>
      </c>
      <c r="D28" s="16" t="s">
        <v>532</v>
      </c>
      <c r="E28" s="16" t="s">
        <v>532</v>
      </c>
      <c r="F28" s="7"/>
      <c r="G28" s="7">
        <v>6</v>
      </c>
    </row>
    <row r="29" spans="1:9" x14ac:dyDescent="0.25">
      <c r="A29" s="8" t="s">
        <v>1891</v>
      </c>
      <c r="B29" s="7">
        <v>7</v>
      </c>
      <c r="C29" s="16" t="s">
        <v>533</v>
      </c>
      <c r="D29" s="16" t="s">
        <v>533</v>
      </c>
      <c r="E29" s="16" t="s">
        <v>533</v>
      </c>
      <c r="F29" s="7"/>
      <c r="G29" s="7">
        <v>7</v>
      </c>
    </row>
    <row r="30" spans="1:9" x14ac:dyDescent="0.25">
      <c r="A30" s="8" t="s">
        <v>1891</v>
      </c>
      <c r="B30" s="7">
        <v>8</v>
      </c>
      <c r="C30" s="16" t="s">
        <v>534</v>
      </c>
      <c r="D30" s="16" t="s">
        <v>534</v>
      </c>
      <c r="E30" s="16" t="s">
        <v>534</v>
      </c>
      <c r="F30" s="7"/>
      <c r="G30" s="7">
        <v>8</v>
      </c>
    </row>
    <row r="31" spans="1:9" x14ac:dyDescent="0.25">
      <c r="A31" s="8" t="s">
        <v>1891</v>
      </c>
      <c r="B31" s="7">
        <v>9</v>
      </c>
      <c r="C31" s="16" t="s">
        <v>535</v>
      </c>
      <c r="D31" s="16" t="s">
        <v>535</v>
      </c>
      <c r="E31" s="16" t="s">
        <v>535</v>
      </c>
      <c r="F31" s="7"/>
      <c r="G31" s="7">
        <v>9</v>
      </c>
    </row>
    <row r="32" spans="1:9" x14ac:dyDescent="0.25">
      <c r="A32" s="8" t="s">
        <v>1891</v>
      </c>
      <c r="B32" s="7">
        <v>10</v>
      </c>
      <c r="C32" s="16" t="s">
        <v>536</v>
      </c>
      <c r="D32" s="16" t="s">
        <v>536</v>
      </c>
      <c r="E32" s="16" t="s">
        <v>536</v>
      </c>
      <c r="F32" s="7"/>
      <c r="G32" s="7">
        <v>10</v>
      </c>
    </row>
    <row r="33" spans="1:9" x14ac:dyDescent="0.25">
      <c r="A33" s="8" t="s">
        <v>1891</v>
      </c>
      <c r="B33" s="7">
        <v>11</v>
      </c>
      <c r="C33" s="16" t="s">
        <v>537</v>
      </c>
      <c r="D33" s="16" t="s">
        <v>537</v>
      </c>
      <c r="E33" s="16" t="s">
        <v>537</v>
      </c>
      <c r="F33" s="7"/>
      <c r="G33" s="7">
        <v>11</v>
      </c>
    </row>
    <row r="34" spans="1:9" x14ac:dyDescent="0.25">
      <c r="A34" s="8" t="s">
        <v>1891</v>
      </c>
      <c r="B34" s="7">
        <v>12</v>
      </c>
      <c r="C34" s="16" t="s">
        <v>538</v>
      </c>
      <c r="D34" s="16" t="s">
        <v>538</v>
      </c>
      <c r="E34" s="16" t="s">
        <v>538</v>
      </c>
      <c r="F34" s="7"/>
      <c r="G34" s="7">
        <v>12</v>
      </c>
    </row>
    <row r="35" spans="1:9" x14ac:dyDescent="0.25">
      <c r="A35" s="8" t="s">
        <v>1891</v>
      </c>
      <c r="B35" s="7">
        <v>13</v>
      </c>
      <c r="C35" s="16" t="s">
        <v>539</v>
      </c>
      <c r="D35" s="16" t="s">
        <v>539</v>
      </c>
      <c r="E35" s="16" t="s">
        <v>539</v>
      </c>
      <c r="F35" s="7"/>
      <c r="G35" s="7">
        <v>13</v>
      </c>
    </row>
    <row r="36" spans="1:9" x14ac:dyDescent="0.25">
      <c r="A36" s="8" t="s">
        <v>1891</v>
      </c>
      <c r="B36" s="7">
        <v>14</v>
      </c>
      <c r="C36" s="16" t="s">
        <v>540</v>
      </c>
      <c r="D36" s="16" t="s">
        <v>540</v>
      </c>
      <c r="E36" s="16" t="s">
        <v>540</v>
      </c>
      <c r="F36" s="7"/>
      <c r="G36" s="7">
        <v>14</v>
      </c>
    </row>
    <row r="37" spans="1:9" x14ac:dyDescent="0.25">
      <c r="A37" s="8" t="s">
        <v>1891</v>
      </c>
      <c r="B37" s="7">
        <v>15</v>
      </c>
      <c r="C37" s="16" t="s">
        <v>541</v>
      </c>
      <c r="D37" s="16" t="s">
        <v>541</v>
      </c>
      <c r="E37" s="16" t="s">
        <v>541</v>
      </c>
      <c r="F37" s="7"/>
      <c r="G37" s="7">
        <v>15</v>
      </c>
    </row>
    <row r="38" spans="1:9" x14ac:dyDescent="0.25">
      <c r="A38" s="8" t="s">
        <v>1891</v>
      </c>
      <c r="B38" s="7">
        <v>16</v>
      </c>
      <c r="C38" s="16" t="s">
        <v>584</v>
      </c>
      <c r="D38" s="16" t="s">
        <v>584</v>
      </c>
      <c r="E38" s="16" t="s">
        <v>584</v>
      </c>
      <c r="F38" s="7"/>
      <c r="G38" s="7">
        <v>16</v>
      </c>
    </row>
    <row r="39" spans="1:9" x14ac:dyDescent="0.25">
      <c r="A39" s="8" t="s">
        <v>1891</v>
      </c>
      <c r="B39" s="7">
        <v>17</v>
      </c>
      <c r="C39" s="16" t="s">
        <v>585</v>
      </c>
      <c r="D39" s="16" t="s">
        <v>585</v>
      </c>
      <c r="E39" s="16" t="s">
        <v>585</v>
      </c>
      <c r="F39" s="7"/>
      <c r="G39" s="7">
        <v>17</v>
      </c>
    </row>
    <row r="40" spans="1:9" x14ac:dyDescent="0.25">
      <c r="A40" s="8" t="s">
        <v>1891</v>
      </c>
      <c r="B40" s="7">
        <v>18</v>
      </c>
      <c r="C40" s="16" t="s">
        <v>597</v>
      </c>
      <c r="D40" s="16" t="s">
        <v>597</v>
      </c>
      <c r="E40" s="16" t="s">
        <v>597</v>
      </c>
      <c r="F40" s="7"/>
      <c r="G40" s="7">
        <v>18</v>
      </c>
    </row>
    <row r="41" spans="1:9" x14ac:dyDescent="0.25">
      <c r="A41" s="8" t="s">
        <v>1891</v>
      </c>
      <c r="B41" s="7">
        <v>19</v>
      </c>
      <c r="C41" s="16" t="s">
        <v>598</v>
      </c>
      <c r="D41" s="16" t="s">
        <v>598</v>
      </c>
      <c r="E41" s="16" t="s">
        <v>598</v>
      </c>
      <c r="F41" s="7"/>
      <c r="G41" s="7">
        <v>19</v>
      </c>
    </row>
    <row r="42" spans="1:9" x14ac:dyDescent="0.25">
      <c r="A42" s="8" t="s">
        <v>1891</v>
      </c>
      <c r="B42" s="7">
        <v>20</v>
      </c>
      <c r="C42" s="16" t="s">
        <v>599</v>
      </c>
      <c r="D42" s="16" t="s">
        <v>599</v>
      </c>
      <c r="E42" s="16" t="s">
        <v>599</v>
      </c>
      <c r="F42" s="7"/>
      <c r="G42" s="7">
        <v>20</v>
      </c>
    </row>
    <row r="43" spans="1:9" x14ac:dyDescent="0.25">
      <c r="A43" s="8" t="s">
        <v>1891</v>
      </c>
      <c r="B43" s="7">
        <v>21</v>
      </c>
      <c r="C43" s="16" t="s">
        <v>600</v>
      </c>
      <c r="D43" s="16" t="s">
        <v>600</v>
      </c>
      <c r="E43" s="16" t="s">
        <v>600</v>
      </c>
      <c r="F43" s="7"/>
      <c r="G43" s="7">
        <v>21</v>
      </c>
    </row>
    <row r="44" spans="1:9" x14ac:dyDescent="0.25">
      <c r="A44" s="8" t="s">
        <v>1891</v>
      </c>
      <c r="B44" s="7">
        <v>22</v>
      </c>
      <c r="C44" s="16" t="s">
        <v>601</v>
      </c>
      <c r="D44" s="16" t="s">
        <v>601</v>
      </c>
      <c r="E44" s="16" t="s">
        <v>601</v>
      </c>
      <c r="F44" s="7"/>
      <c r="G44" s="7">
        <v>22</v>
      </c>
    </row>
    <row r="45" spans="1:9" x14ac:dyDescent="0.25">
      <c r="A45" s="8" t="s">
        <v>1891</v>
      </c>
      <c r="B45" s="7">
        <v>23</v>
      </c>
      <c r="C45" s="16" t="s">
        <v>602</v>
      </c>
      <c r="D45" s="16" t="s">
        <v>602</v>
      </c>
      <c r="E45" s="16" t="s">
        <v>602</v>
      </c>
      <c r="F45" s="7"/>
      <c r="G45" s="7">
        <v>23</v>
      </c>
    </row>
    <row r="46" spans="1:9" x14ac:dyDescent="0.25">
      <c r="A46" s="8" t="s">
        <v>1891</v>
      </c>
      <c r="B46" s="7">
        <v>24</v>
      </c>
      <c r="C46" s="16" t="s">
        <v>603</v>
      </c>
      <c r="D46" s="16" t="s">
        <v>603</v>
      </c>
      <c r="E46" s="16" t="s">
        <v>603</v>
      </c>
      <c r="F46" s="7"/>
      <c r="G46" s="7">
        <v>24</v>
      </c>
    </row>
    <row r="47" spans="1:9" x14ac:dyDescent="0.25">
      <c r="A47" s="8" t="s">
        <v>1891</v>
      </c>
      <c r="B47" s="7">
        <v>25</v>
      </c>
      <c r="C47" s="16" t="s">
        <v>604</v>
      </c>
      <c r="D47" s="16" t="s">
        <v>604</v>
      </c>
      <c r="E47" s="16" t="s">
        <v>604</v>
      </c>
      <c r="F47" s="7"/>
      <c r="G47" s="7">
        <v>25</v>
      </c>
    </row>
    <row r="48" spans="1:9" x14ac:dyDescent="0.25">
      <c r="A48" s="9"/>
      <c r="B48" s="9"/>
      <c r="C48" s="9"/>
      <c r="D48" s="9"/>
      <c r="E48" s="9"/>
      <c r="F48" s="10"/>
      <c r="G48" s="10"/>
      <c r="H48" s="10"/>
      <c r="I48" s="10"/>
    </row>
    <row r="49" spans="1:9" x14ac:dyDescent="0.25">
      <c r="A49" s="8" t="s">
        <v>1893</v>
      </c>
      <c r="B49" s="7">
        <v>1</v>
      </c>
      <c r="C49" s="8" t="s">
        <v>299</v>
      </c>
      <c r="D49" s="8" t="s">
        <v>300</v>
      </c>
      <c r="E49" s="8" t="s">
        <v>1009</v>
      </c>
      <c r="F49" s="7"/>
      <c r="G49" s="7"/>
    </row>
    <row r="50" spans="1:9" x14ac:dyDescent="0.25">
      <c r="A50" s="8" t="s">
        <v>1893</v>
      </c>
      <c r="B50" s="7">
        <v>2</v>
      </c>
      <c r="C50" s="8" t="s">
        <v>301</v>
      </c>
      <c r="D50" s="8" t="s">
        <v>302</v>
      </c>
      <c r="E50" s="8" t="s">
        <v>1010</v>
      </c>
      <c r="F50" s="7"/>
      <c r="G50" s="7"/>
    </row>
    <row r="51" spans="1:9" x14ac:dyDescent="0.25">
      <c r="A51" s="10"/>
      <c r="B51" s="9"/>
      <c r="C51" s="10"/>
      <c r="D51" s="10"/>
      <c r="E51" s="10"/>
      <c r="F51" s="9"/>
      <c r="G51" s="9"/>
      <c r="H51" s="10"/>
      <c r="I51" s="10"/>
    </row>
    <row r="52" spans="1:9" x14ac:dyDescent="0.25">
      <c r="A52" s="8" t="s">
        <v>1898</v>
      </c>
      <c r="B52" s="7">
        <v>1</v>
      </c>
      <c r="C52" s="8" t="s">
        <v>81</v>
      </c>
      <c r="D52" s="7" t="s">
        <v>82</v>
      </c>
      <c r="E52" s="15" t="s">
        <v>1020</v>
      </c>
    </row>
    <row r="53" spans="1:9" x14ac:dyDescent="0.25">
      <c r="A53" s="8" t="s">
        <v>1898</v>
      </c>
      <c r="B53" s="7">
        <v>2</v>
      </c>
      <c r="C53" s="8" t="s">
        <v>83</v>
      </c>
      <c r="D53" s="7" t="s">
        <v>84</v>
      </c>
      <c r="E53" s="8" t="s">
        <v>1021</v>
      </c>
    </row>
    <row r="54" spans="1:9" x14ac:dyDescent="0.25">
      <c r="A54" s="8" t="s">
        <v>1898</v>
      </c>
      <c r="B54" s="7">
        <v>3</v>
      </c>
      <c r="C54" s="8" t="s">
        <v>429</v>
      </c>
      <c r="D54" s="8" t="s">
        <v>432</v>
      </c>
      <c r="E54" s="8" t="s">
        <v>1022</v>
      </c>
    </row>
    <row r="55" spans="1:9" x14ac:dyDescent="0.25">
      <c r="A55" s="8" t="s">
        <v>1898</v>
      </c>
      <c r="B55" s="7">
        <v>4</v>
      </c>
      <c r="C55" s="8" t="s">
        <v>562</v>
      </c>
      <c r="D55" s="7" t="s">
        <v>563</v>
      </c>
      <c r="E55" s="8" t="s">
        <v>1023</v>
      </c>
    </row>
    <row r="56" spans="1:9" x14ac:dyDescent="0.25">
      <c r="A56" s="10"/>
      <c r="B56" s="9"/>
      <c r="C56" s="10"/>
      <c r="D56" s="9"/>
      <c r="E56" s="10"/>
      <c r="F56" s="10"/>
      <c r="G56" s="10"/>
      <c r="H56" s="10"/>
      <c r="I56" s="10"/>
    </row>
    <row r="57" spans="1:9" x14ac:dyDescent="0.25">
      <c r="A57" s="8" t="s">
        <v>3091</v>
      </c>
      <c r="B57" s="8">
        <v>1</v>
      </c>
      <c r="C57" s="8" t="s">
        <v>488</v>
      </c>
      <c r="D57" s="8" t="s">
        <v>434</v>
      </c>
      <c r="E57" s="8" t="s">
        <v>1894</v>
      </c>
    </row>
    <row r="58" spans="1:9" x14ac:dyDescent="0.25">
      <c r="A58" s="8" t="s">
        <v>3091</v>
      </c>
      <c r="B58" s="8">
        <v>2</v>
      </c>
      <c r="C58" s="8" t="s">
        <v>489</v>
      </c>
      <c r="D58" s="8" t="s">
        <v>435</v>
      </c>
      <c r="E58" s="8" t="s">
        <v>1895</v>
      </c>
    </row>
    <row r="59" spans="1:9" x14ac:dyDescent="0.25">
      <c r="A59" s="8" t="s">
        <v>3091</v>
      </c>
      <c r="B59" s="8">
        <v>3</v>
      </c>
      <c r="C59" s="8" t="s">
        <v>490</v>
      </c>
      <c r="D59" s="8" t="s">
        <v>436</v>
      </c>
      <c r="E59" s="8" t="s">
        <v>1896</v>
      </c>
    </row>
    <row r="60" spans="1:9" x14ac:dyDescent="0.25">
      <c r="A60" s="8" t="s">
        <v>3091</v>
      </c>
      <c r="B60" s="8">
        <v>96</v>
      </c>
      <c r="C60" s="8" t="s">
        <v>78</v>
      </c>
      <c r="D60" s="8" t="s">
        <v>79</v>
      </c>
      <c r="E60" s="8" t="s">
        <v>1158</v>
      </c>
    </row>
    <row r="61" spans="1:9" x14ac:dyDescent="0.25">
      <c r="A61" s="10"/>
      <c r="B61" s="10"/>
      <c r="C61" s="10"/>
      <c r="D61" s="10"/>
      <c r="E61" s="10"/>
      <c r="F61" s="10"/>
      <c r="G61" s="10"/>
      <c r="H61" s="10"/>
      <c r="I61" s="10"/>
    </row>
    <row r="62" spans="1:9" x14ac:dyDescent="0.25">
      <c r="A62" s="7" t="s">
        <v>1900</v>
      </c>
      <c r="B62" s="7">
        <v>1</v>
      </c>
      <c r="C62" s="7" t="s">
        <v>691</v>
      </c>
      <c r="D62" s="15" t="s">
        <v>694</v>
      </c>
      <c r="E62" s="15" t="s">
        <v>1024</v>
      </c>
      <c r="F62" s="7"/>
    </row>
    <row r="63" spans="1:9" x14ac:dyDescent="0.25">
      <c r="A63" s="7" t="s">
        <v>1900</v>
      </c>
      <c r="B63" s="7">
        <v>2</v>
      </c>
      <c r="C63" s="7" t="s">
        <v>721</v>
      </c>
      <c r="D63" s="15" t="s">
        <v>722</v>
      </c>
      <c r="E63" s="15" t="s">
        <v>1025</v>
      </c>
      <c r="F63" s="7"/>
    </row>
    <row r="64" spans="1:9" x14ac:dyDescent="0.25">
      <c r="A64" s="7" t="s">
        <v>1900</v>
      </c>
      <c r="B64" s="7">
        <v>3</v>
      </c>
      <c r="C64" s="7" t="s">
        <v>723</v>
      </c>
      <c r="D64" s="15" t="s">
        <v>724</v>
      </c>
      <c r="E64" s="15" t="s">
        <v>1026</v>
      </c>
      <c r="F64" s="7"/>
    </row>
    <row r="65" spans="1:9" x14ac:dyDescent="0.25">
      <c r="A65" s="7" t="s">
        <v>1900</v>
      </c>
      <c r="B65" s="7">
        <v>4</v>
      </c>
      <c r="C65" s="7" t="s">
        <v>725</v>
      </c>
      <c r="D65" s="15" t="s">
        <v>726</v>
      </c>
      <c r="E65" s="15" t="s">
        <v>1027</v>
      </c>
      <c r="F65" s="7"/>
    </row>
    <row r="66" spans="1:9" x14ac:dyDescent="0.25">
      <c r="A66" s="7" t="s">
        <v>1900</v>
      </c>
      <c r="B66" s="7">
        <v>5</v>
      </c>
      <c r="C66" s="7" t="s">
        <v>727</v>
      </c>
      <c r="D66" s="15" t="s">
        <v>728</v>
      </c>
      <c r="E66" s="15" t="s">
        <v>1028</v>
      </c>
      <c r="F66" s="7"/>
    </row>
    <row r="67" spans="1:9" x14ac:dyDescent="0.25">
      <c r="A67" s="7" t="s">
        <v>1900</v>
      </c>
      <c r="B67" s="7">
        <v>6</v>
      </c>
      <c r="C67" s="7" t="s">
        <v>729</v>
      </c>
      <c r="D67" s="15" t="s">
        <v>730</v>
      </c>
      <c r="E67" s="15" t="s">
        <v>1029</v>
      </c>
      <c r="F67" s="7"/>
    </row>
    <row r="68" spans="1:9" x14ac:dyDescent="0.25">
      <c r="A68" s="7" t="s">
        <v>1900</v>
      </c>
      <c r="B68" s="7">
        <v>7</v>
      </c>
      <c r="C68" s="7" t="s">
        <v>731</v>
      </c>
      <c r="D68" s="15" t="s">
        <v>732</v>
      </c>
      <c r="E68" s="15" t="s">
        <v>1030</v>
      </c>
      <c r="F68" s="7"/>
    </row>
    <row r="69" spans="1:9" x14ac:dyDescent="0.25">
      <c r="A69" s="7" t="s">
        <v>1900</v>
      </c>
      <c r="B69" s="7">
        <v>8</v>
      </c>
      <c r="C69" s="7" t="s">
        <v>692</v>
      </c>
      <c r="D69" s="15" t="s">
        <v>733</v>
      </c>
      <c r="E69" s="15" t="s">
        <v>1031</v>
      </c>
      <c r="F69" s="7"/>
    </row>
    <row r="70" spans="1:9" x14ac:dyDescent="0.25">
      <c r="A70" s="7" t="s">
        <v>1900</v>
      </c>
      <c r="B70" s="7">
        <v>9</v>
      </c>
      <c r="C70" s="7" t="s">
        <v>693</v>
      </c>
      <c r="D70" s="15" t="s">
        <v>734</v>
      </c>
      <c r="E70" s="15" t="s">
        <v>1032</v>
      </c>
      <c r="F70" s="7"/>
    </row>
    <row r="71" spans="1:9" x14ac:dyDescent="0.25">
      <c r="A71" s="7" t="s">
        <v>1900</v>
      </c>
      <c r="B71" s="7">
        <v>10</v>
      </c>
      <c r="C71" s="7" t="s">
        <v>735</v>
      </c>
      <c r="D71" s="15" t="s">
        <v>736</v>
      </c>
      <c r="E71" s="15" t="s">
        <v>1033</v>
      </c>
      <c r="F71" s="7"/>
    </row>
    <row r="72" spans="1:9" x14ac:dyDescent="0.25">
      <c r="A72" s="7" t="s">
        <v>1900</v>
      </c>
      <c r="B72" s="7">
        <v>11</v>
      </c>
      <c r="C72" s="7" t="s">
        <v>737</v>
      </c>
      <c r="D72" s="7" t="s">
        <v>738</v>
      </c>
      <c r="E72" s="15" t="s">
        <v>1034</v>
      </c>
      <c r="F72" s="7"/>
    </row>
    <row r="73" spans="1:9" x14ac:dyDescent="0.25">
      <c r="A73" s="7" t="s">
        <v>1900</v>
      </c>
      <c r="B73" s="7">
        <v>12</v>
      </c>
      <c r="C73" s="7" t="s">
        <v>739</v>
      </c>
      <c r="D73" s="15" t="s">
        <v>740</v>
      </c>
      <c r="E73" s="15" t="s">
        <v>1035</v>
      </c>
      <c r="F73" s="7"/>
    </row>
    <row r="74" spans="1:9" x14ac:dyDescent="0.25">
      <c r="A74" s="7" t="s">
        <v>1900</v>
      </c>
      <c r="B74" s="7">
        <v>13</v>
      </c>
      <c r="C74" s="7" t="s">
        <v>741</v>
      </c>
      <c r="D74" s="15" t="s">
        <v>742</v>
      </c>
      <c r="E74" s="15" t="s">
        <v>1036</v>
      </c>
      <c r="F74" s="7"/>
    </row>
    <row r="75" spans="1:9" x14ac:dyDescent="0.25">
      <c r="A75" s="10"/>
      <c r="B75" s="9"/>
      <c r="C75" s="10"/>
      <c r="D75" s="9"/>
      <c r="E75" s="9"/>
      <c r="F75" s="9"/>
      <c r="G75" s="10"/>
      <c r="H75" s="10"/>
      <c r="I75" s="10"/>
    </row>
    <row r="76" spans="1:9" x14ac:dyDescent="0.25">
      <c r="A76" s="8" t="s">
        <v>1903</v>
      </c>
      <c r="B76" s="7">
        <v>1</v>
      </c>
      <c r="C76" s="8" t="s">
        <v>804</v>
      </c>
      <c r="D76" s="7" t="s">
        <v>805</v>
      </c>
      <c r="E76" s="7" t="s">
        <v>998</v>
      </c>
      <c r="F76" s="7"/>
    </row>
    <row r="77" spans="1:9" x14ac:dyDescent="0.25">
      <c r="A77" s="9"/>
      <c r="B77" s="9"/>
      <c r="C77" s="9"/>
      <c r="D77" s="17"/>
      <c r="E77" s="17"/>
      <c r="F77" s="9"/>
      <c r="G77" s="10"/>
      <c r="H77" s="10"/>
      <c r="I77" s="10"/>
    </row>
    <row r="78" spans="1:9" x14ac:dyDescent="0.25">
      <c r="A78" s="8" t="s">
        <v>1982</v>
      </c>
      <c r="B78" s="7">
        <v>1</v>
      </c>
      <c r="C78" s="8" t="s">
        <v>80</v>
      </c>
      <c r="D78" s="8" t="s">
        <v>1995</v>
      </c>
      <c r="E78" s="7" t="s">
        <v>1067</v>
      </c>
      <c r="F78" s="7"/>
    </row>
    <row r="79" spans="1:9" x14ac:dyDescent="0.25">
      <c r="A79" s="8" t="s">
        <v>1982</v>
      </c>
      <c r="B79" s="7">
        <v>2</v>
      </c>
      <c r="C79" s="8" t="s">
        <v>1983</v>
      </c>
      <c r="D79" s="8" t="s">
        <v>1996</v>
      </c>
      <c r="E79" s="7" t="s">
        <v>1068</v>
      </c>
      <c r="F79" s="7"/>
    </row>
    <row r="80" spans="1:9" x14ac:dyDescent="0.25">
      <c r="A80" s="8" t="s">
        <v>1982</v>
      </c>
      <c r="B80" s="7">
        <v>3</v>
      </c>
      <c r="C80" s="8" t="s">
        <v>1984</v>
      </c>
      <c r="D80" s="8" t="s">
        <v>1997</v>
      </c>
      <c r="E80" s="7" t="s">
        <v>1069</v>
      </c>
      <c r="F80" s="7"/>
    </row>
    <row r="81" spans="1:9" x14ac:dyDescent="0.25">
      <c r="A81" s="8" t="s">
        <v>1982</v>
      </c>
      <c r="B81" s="7">
        <v>4</v>
      </c>
      <c r="C81" s="8" t="s">
        <v>1985</v>
      </c>
      <c r="D81" s="8" t="s">
        <v>1998</v>
      </c>
      <c r="E81" s="15" t="s">
        <v>1070</v>
      </c>
      <c r="F81" s="7"/>
    </row>
    <row r="82" spans="1:9" x14ac:dyDescent="0.25">
      <c r="A82" s="8" t="s">
        <v>1982</v>
      </c>
      <c r="B82" s="7">
        <v>5</v>
      </c>
      <c r="C82" s="8" t="s">
        <v>1986</v>
      </c>
      <c r="D82" s="8" t="s">
        <v>1999</v>
      </c>
      <c r="E82" s="15" t="s">
        <v>1071</v>
      </c>
      <c r="F82" s="7"/>
    </row>
    <row r="83" spans="1:9" x14ac:dyDescent="0.25">
      <c r="A83" s="8" t="s">
        <v>1982</v>
      </c>
      <c r="B83" s="7">
        <v>6</v>
      </c>
      <c r="C83" s="8" t="s">
        <v>1987</v>
      </c>
      <c r="D83" s="8" t="s">
        <v>2000</v>
      </c>
      <c r="E83" s="15" t="s">
        <v>1072</v>
      </c>
      <c r="F83" s="7"/>
    </row>
    <row r="84" spans="1:9" x14ac:dyDescent="0.25">
      <c r="A84" s="8" t="s">
        <v>1982</v>
      </c>
      <c r="B84" s="7">
        <v>7</v>
      </c>
      <c r="C84" s="8" t="s">
        <v>1988</v>
      </c>
      <c r="D84" s="8" t="s">
        <v>2001</v>
      </c>
      <c r="E84" s="15" t="s">
        <v>1073</v>
      </c>
      <c r="F84" s="7"/>
    </row>
    <row r="85" spans="1:9" x14ac:dyDescent="0.25">
      <c r="A85" s="8" t="s">
        <v>1982</v>
      </c>
      <c r="B85" s="7">
        <v>8</v>
      </c>
      <c r="C85" s="8" t="s">
        <v>1989</v>
      </c>
      <c r="D85" s="8" t="s">
        <v>2002</v>
      </c>
      <c r="E85" s="15" t="s">
        <v>3253</v>
      </c>
      <c r="F85" s="7"/>
    </row>
    <row r="86" spans="1:9" x14ac:dyDescent="0.25">
      <c r="A86" s="8" t="s">
        <v>1982</v>
      </c>
      <c r="B86" s="7">
        <v>9</v>
      </c>
      <c r="C86" s="8" t="s">
        <v>1990</v>
      </c>
      <c r="D86" s="8" t="s">
        <v>2003</v>
      </c>
      <c r="E86" s="15" t="s">
        <v>1074</v>
      </c>
      <c r="F86" s="7"/>
    </row>
    <row r="87" spans="1:9" x14ac:dyDescent="0.25">
      <c r="A87" s="8" t="s">
        <v>1982</v>
      </c>
      <c r="B87" s="7">
        <v>10</v>
      </c>
      <c r="C87" s="8" t="s">
        <v>1991</v>
      </c>
      <c r="D87" s="7" t="s">
        <v>2004</v>
      </c>
      <c r="E87" s="15" t="s">
        <v>1075</v>
      </c>
      <c r="F87" s="7"/>
    </row>
    <row r="88" spans="1:9" x14ac:dyDescent="0.25">
      <c r="A88" s="8" t="s">
        <v>1982</v>
      </c>
      <c r="B88" s="7">
        <v>11</v>
      </c>
      <c r="C88" s="8" t="s">
        <v>1992</v>
      </c>
      <c r="D88" s="8" t="s">
        <v>2005</v>
      </c>
      <c r="E88" s="15" t="s">
        <v>1076</v>
      </c>
      <c r="F88" s="7"/>
    </row>
    <row r="89" spans="1:9" x14ac:dyDescent="0.25">
      <c r="A89" s="8" t="s">
        <v>1982</v>
      </c>
      <c r="B89" s="7">
        <v>12</v>
      </c>
      <c r="C89" s="8" t="s">
        <v>1993</v>
      </c>
      <c r="D89" s="8" t="s">
        <v>2006</v>
      </c>
      <c r="E89" s="15" t="s">
        <v>1077</v>
      </c>
      <c r="F89" s="7"/>
    </row>
    <row r="90" spans="1:9" x14ac:dyDescent="0.25">
      <c r="A90" s="8" t="s">
        <v>1982</v>
      </c>
      <c r="B90" s="7">
        <v>13</v>
      </c>
      <c r="C90" s="8" t="s">
        <v>1994</v>
      </c>
      <c r="D90" s="8" t="s">
        <v>2007</v>
      </c>
      <c r="E90" s="15" t="s">
        <v>1078</v>
      </c>
      <c r="F90" s="7"/>
    </row>
    <row r="91" spans="1:9" x14ac:dyDescent="0.25">
      <c r="A91" s="8" t="s">
        <v>1982</v>
      </c>
      <c r="B91" s="7">
        <v>96</v>
      </c>
      <c r="C91" s="8" t="s">
        <v>78</v>
      </c>
      <c r="D91" s="8" t="s">
        <v>2008</v>
      </c>
      <c r="E91" s="15" t="s">
        <v>1006</v>
      </c>
      <c r="F91" s="7"/>
    </row>
    <row r="92" spans="1:9" x14ac:dyDescent="0.25">
      <c r="A92" s="10"/>
      <c r="B92" s="9"/>
      <c r="C92" s="10"/>
      <c r="D92" s="10"/>
      <c r="E92" s="17"/>
      <c r="F92" s="9"/>
      <c r="G92" s="10"/>
      <c r="H92" s="10"/>
      <c r="I92" s="10"/>
    </row>
    <row r="93" spans="1:9" x14ac:dyDescent="0.25">
      <c r="A93" s="8" t="s">
        <v>2019</v>
      </c>
      <c r="B93" s="7">
        <v>1</v>
      </c>
      <c r="C93" s="8" t="s">
        <v>2247</v>
      </c>
      <c r="D93" s="8" t="s">
        <v>2253</v>
      </c>
      <c r="E93" s="7" t="s">
        <v>1079</v>
      </c>
      <c r="F93" s="7"/>
    </row>
    <row r="94" spans="1:9" x14ac:dyDescent="0.25">
      <c r="A94" s="8" t="s">
        <v>2019</v>
      </c>
      <c r="B94" s="7">
        <v>2</v>
      </c>
      <c r="C94" s="8" t="s">
        <v>2248</v>
      </c>
      <c r="D94" s="8" t="s">
        <v>2254</v>
      </c>
      <c r="E94" s="7" t="s">
        <v>1080</v>
      </c>
      <c r="F94" s="7"/>
    </row>
    <row r="95" spans="1:9" x14ac:dyDescent="0.25">
      <c r="A95" s="8" t="s">
        <v>2019</v>
      </c>
      <c r="B95" s="7">
        <v>3</v>
      </c>
      <c r="C95" s="8" t="s">
        <v>2249</v>
      </c>
      <c r="D95" s="8" t="s">
        <v>2255</v>
      </c>
      <c r="E95" s="7" t="s">
        <v>1081</v>
      </c>
      <c r="F95" s="7"/>
    </row>
    <row r="96" spans="1:9" x14ac:dyDescent="0.25">
      <c r="A96" s="8" t="s">
        <v>2019</v>
      </c>
      <c r="B96" s="7">
        <v>4</v>
      </c>
      <c r="C96" s="8" t="s">
        <v>2250</v>
      </c>
      <c r="D96" s="8" t="s">
        <v>2256</v>
      </c>
      <c r="E96" s="7" t="s">
        <v>1082</v>
      </c>
      <c r="F96" s="7"/>
    </row>
    <row r="97" spans="1:9" x14ac:dyDescent="0.25">
      <c r="A97" s="8" t="s">
        <v>2019</v>
      </c>
      <c r="B97" s="7">
        <v>5</v>
      </c>
      <c r="C97" s="8" t="s">
        <v>2251</v>
      </c>
      <c r="D97" s="8" t="s">
        <v>2257</v>
      </c>
      <c r="E97" s="7" t="s">
        <v>1083</v>
      </c>
      <c r="F97" s="7"/>
    </row>
    <row r="98" spans="1:9" x14ac:dyDescent="0.25">
      <c r="A98" s="8" t="s">
        <v>2019</v>
      </c>
      <c r="B98" s="7">
        <v>6</v>
      </c>
      <c r="C98" s="8" t="s">
        <v>2252</v>
      </c>
      <c r="D98" s="8" t="s">
        <v>2258</v>
      </c>
      <c r="E98" s="7" t="s">
        <v>1084</v>
      </c>
      <c r="F98" s="7"/>
    </row>
    <row r="99" spans="1:9" x14ac:dyDescent="0.25">
      <c r="A99" s="10"/>
      <c r="B99" s="9"/>
      <c r="C99" s="10"/>
      <c r="D99" s="10"/>
      <c r="E99" s="9"/>
      <c r="F99" s="9"/>
      <c r="G99" s="10"/>
      <c r="H99" s="10"/>
      <c r="I99" s="10"/>
    </row>
    <row r="100" spans="1:9" x14ac:dyDescent="0.25">
      <c r="A100" s="8" t="s">
        <v>2024</v>
      </c>
      <c r="B100" s="7">
        <v>1</v>
      </c>
      <c r="C100" s="8" t="s">
        <v>2259</v>
      </c>
      <c r="D100" s="8" t="s">
        <v>2261</v>
      </c>
      <c r="E100" s="7" t="s">
        <v>1085</v>
      </c>
      <c r="F100" s="7"/>
    </row>
    <row r="101" spans="1:9" x14ac:dyDescent="0.25">
      <c r="A101" s="8" t="s">
        <v>2024</v>
      </c>
      <c r="B101" s="7">
        <v>2</v>
      </c>
      <c r="C101" s="8" t="s">
        <v>2260</v>
      </c>
      <c r="D101" s="8" t="s">
        <v>2262</v>
      </c>
      <c r="E101" s="7" t="s">
        <v>1086</v>
      </c>
      <c r="F101" s="7"/>
    </row>
    <row r="102" spans="1:9" x14ac:dyDescent="0.25">
      <c r="A102" s="8" t="s">
        <v>2024</v>
      </c>
      <c r="B102" s="7">
        <v>3</v>
      </c>
      <c r="C102" s="8" t="s">
        <v>629</v>
      </c>
      <c r="D102" s="13" t="s">
        <v>2263</v>
      </c>
      <c r="E102" s="7" t="s">
        <v>1087</v>
      </c>
      <c r="F102" s="7"/>
    </row>
    <row r="103" spans="1:9" x14ac:dyDescent="0.25">
      <c r="A103" s="8" t="s">
        <v>2024</v>
      </c>
      <c r="B103" s="7">
        <v>4</v>
      </c>
      <c r="C103" s="8" t="s">
        <v>3217</v>
      </c>
      <c r="D103" s="13" t="s">
        <v>3218</v>
      </c>
      <c r="E103" s="13" t="s">
        <v>3221</v>
      </c>
      <c r="F103" s="7"/>
    </row>
    <row r="104" spans="1:9" x14ac:dyDescent="0.25">
      <c r="A104" s="10"/>
      <c r="B104" s="9"/>
      <c r="C104" s="10"/>
      <c r="D104" s="10"/>
      <c r="E104" s="9"/>
      <c r="F104" s="9"/>
      <c r="G104" s="10"/>
      <c r="H104" s="10"/>
      <c r="I104" s="10"/>
    </row>
    <row r="105" spans="1:9" x14ac:dyDescent="0.25">
      <c r="A105" s="8" t="s">
        <v>2063</v>
      </c>
      <c r="B105" s="7">
        <v>1</v>
      </c>
      <c r="C105" s="8" t="s">
        <v>2264</v>
      </c>
      <c r="D105" s="7" t="s">
        <v>2270</v>
      </c>
      <c r="E105" s="7" t="s">
        <v>1088</v>
      </c>
      <c r="F105" s="7"/>
    </row>
    <row r="106" spans="1:9" x14ac:dyDescent="0.25">
      <c r="A106" s="8" t="s">
        <v>2063</v>
      </c>
      <c r="B106" s="7">
        <v>2</v>
      </c>
      <c r="C106" s="8" t="s">
        <v>2265</v>
      </c>
      <c r="D106" s="8" t="s">
        <v>2271</v>
      </c>
      <c r="E106" s="8" t="s">
        <v>1089</v>
      </c>
      <c r="F106" s="7"/>
    </row>
    <row r="107" spans="1:9" x14ac:dyDescent="0.25">
      <c r="A107" s="8" t="s">
        <v>2063</v>
      </c>
      <c r="B107" s="7">
        <v>3</v>
      </c>
      <c r="C107" s="8" t="s">
        <v>2266</v>
      </c>
      <c r="D107" s="8" t="s">
        <v>2272</v>
      </c>
      <c r="E107" s="8" t="s">
        <v>1090</v>
      </c>
      <c r="F107" s="7"/>
    </row>
    <row r="108" spans="1:9" x14ac:dyDescent="0.25">
      <c r="A108" s="8" t="s">
        <v>2063</v>
      </c>
      <c r="B108" s="7">
        <v>4</v>
      </c>
      <c r="C108" s="8" t="s">
        <v>2267</v>
      </c>
      <c r="D108" s="8" t="s">
        <v>2273</v>
      </c>
      <c r="E108" s="8" t="s">
        <v>1091</v>
      </c>
      <c r="F108" s="7"/>
    </row>
    <row r="109" spans="1:9" x14ac:dyDescent="0.25">
      <c r="A109" s="8" t="s">
        <v>2063</v>
      </c>
      <c r="B109" s="7">
        <v>5</v>
      </c>
      <c r="C109" s="8" t="s">
        <v>2268</v>
      </c>
      <c r="D109" s="8" t="s">
        <v>2274</v>
      </c>
      <c r="E109" s="8" t="s">
        <v>1092</v>
      </c>
      <c r="F109" s="7"/>
    </row>
    <row r="110" spans="1:9" x14ac:dyDescent="0.25">
      <c r="A110" s="8" t="s">
        <v>2063</v>
      </c>
      <c r="B110" s="7">
        <v>6</v>
      </c>
      <c r="C110" s="8" t="s">
        <v>2269</v>
      </c>
      <c r="D110" s="8" t="s">
        <v>2275</v>
      </c>
      <c r="E110" s="8" t="s">
        <v>1093</v>
      </c>
      <c r="F110" s="7"/>
    </row>
    <row r="111" spans="1:9" x14ac:dyDescent="0.25">
      <c r="A111" s="8" t="s">
        <v>2063</v>
      </c>
      <c r="B111" s="7">
        <v>7</v>
      </c>
      <c r="C111" s="8" t="s">
        <v>3740</v>
      </c>
      <c r="D111" s="8" t="s">
        <v>3741</v>
      </c>
      <c r="E111" s="8" t="s">
        <v>3742</v>
      </c>
      <c r="F111" s="7"/>
    </row>
    <row r="112" spans="1:9" x14ac:dyDescent="0.25">
      <c r="A112" s="8" t="s">
        <v>2063</v>
      </c>
      <c r="B112" s="7">
        <v>8</v>
      </c>
      <c r="C112" s="8" t="s">
        <v>78</v>
      </c>
      <c r="D112" s="8" t="s">
        <v>79</v>
      </c>
      <c r="E112" s="8" t="s">
        <v>1006</v>
      </c>
      <c r="F112" s="7"/>
    </row>
    <row r="113" spans="1:9" x14ac:dyDescent="0.25">
      <c r="A113" s="10"/>
      <c r="B113" s="9"/>
      <c r="C113" s="10"/>
      <c r="D113" s="10"/>
      <c r="E113" s="10"/>
      <c r="F113" s="9"/>
      <c r="G113" s="10"/>
      <c r="H113" s="10"/>
      <c r="I113" s="10"/>
    </row>
    <row r="114" spans="1:9" x14ac:dyDescent="0.25">
      <c r="A114" s="8" t="s">
        <v>2075</v>
      </c>
      <c r="B114" s="7">
        <v>1</v>
      </c>
      <c r="C114" s="8" t="s">
        <v>2276</v>
      </c>
      <c r="D114" s="7" t="s">
        <v>87</v>
      </c>
      <c r="E114" s="7" t="s">
        <v>1131</v>
      </c>
    </row>
    <row r="115" spans="1:9" x14ac:dyDescent="0.25">
      <c r="A115" s="8" t="s">
        <v>2075</v>
      </c>
      <c r="B115" s="7">
        <v>2</v>
      </c>
      <c r="C115" s="8" t="s">
        <v>2277</v>
      </c>
      <c r="D115" s="8" t="s">
        <v>88</v>
      </c>
      <c r="E115" s="15" t="s">
        <v>1132</v>
      </c>
      <c r="F115" s="7"/>
    </row>
    <row r="116" spans="1:9" x14ac:dyDescent="0.25">
      <c r="A116" s="8" t="s">
        <v>2075</v>
      </c>
      <c r="B116" s="7">
        <v>3</v>
      </c>
      <c r="C116" s="8" t="s">
        <v>2278</v>
      </c>
      <c r="D116" s="8" t="s">
        <v>89</v>
      </c>
      <c r="E116" s="15" t="s">
        <v>1133</v>
      </c>
      <c r="F116" s="7"/>
    </row>
    <row r="117" spans="1:9" x14ac:dyDescent="0.25">
      <c r="A117" s="8" t="s">
        <v>2075</v>
      </c>
      <c r="B117" s="7">
        <v>4</v>
      </c>
      <c r="C117" s="8" t="s">
        <v>90</v>
      </c>
      <c r="D117" s="8" t="s">
        <v>91</v>
      </c>
      <c r="E117" s="15" t="s">
        <v>1134</v>
      </c>
      <c r="F117" s="7"/>
    </row>
    <row r="118" spans="1:9" x14ac:dyDescent="0.25">
      <c r="A118" s="8" t="s">
        <v>2075</v>
      </c>
      <c r="B118" s="7">
        <v>5</v>
      </c>
      <c r="C118" s="8" t="s">
        <v>92</v>
      </c>
      <c r="D118" s="8" t="s">
        <v>2279</v>
      </c>
      <c r="E118" s="15" t="s">
        <v>1135</v>
      </c>
      <c r="F118" s="7"/>
    </row>
    <row r="119" spans="1:9" x14ac:dyDescent="0.25">
      <c r="A119" s="10"/>
      <c r="B119" s="9"/>
      <c r="C119" s="10"/>
      <c r="D119" s="10"/>
      <c r="E119" s="17"/>
      <c r="F119" s="9"/>
      <c r="G119" s="10"/>
      <c r="H119" s="10"/>
      <c r="I119" s="10"/>
    </row>
    <row r="120" spans="1:9" x14ac:dyDescent="0.25">
      <c r="A120" s="8" t="s">
        <v>2083</v>
      </c>
      <c r="B120" s="7">
        <v>1</v>
      </c>
      <c r="C120" s="8" t="s">
        <v>2280</v>
      </c>
      <c r="D120" s="8" t="s">
        <v>2285</v>
      </c>
      <c r="E120" s="18" t="s">
        <v>1136</v>
      </c>
      <c r="F120" s="7"/>
    </row>
    <row r="121" spans="1:9" x14ac:dyDescent="0.25">
      <c r="A121" s="8" t="s">
        <v>2083</v>
      </c>
      <c r="B121" s="7">
        <v>2</v>
      </c>
      <c r="C121" s="8" t="s">
        <v>2281</v>
      </c>
      <c r="D121" s="8" t="s">
        <v>2286</v>
      </c>
      <c r="E121" s="18" t="s">
        <v>1137</v>
      </c>
      <c r="F121" s="7"/>
    </row>
    <row r="122" spans="1:9" x14ac:dyDescent="0.25">
      <c r="A122" s="8" t="s">
        <v>2083</v>
      </c>
      <c r="B122" s="7">
        <v>3</v>
      </c>
      <c r="C122" s="8" t="s">
        <v>2282</v>
      </c>
      <c r="D122" s="13" t="s">
        <v>2082</v>
      </c>
      <c r="E122" s="18" t="s">
        <v>1138</v>
      </c>
      <c r="F122" s="7"/>
    </row>
    <row r="123" spans="1:9" x14ac:dyDescent="0.25">
      <c r="A123" s="8" t="s">
        <v>2083</v>
      </c>
      <c r="B123" s="7">
        <v>4</v>
      </c>
      <c r="C123" s="8" t="s">
        <v>2283</v>
      </c>
      <c r="D123" s="8" t="s">
        <v>2287</v>
      </c>
      <c r="E123" s="18" t="s">
        <v>1139</v>
      </c>
      <c r="F123" s="7"/>
    </row>
    <row r="124" spans="1:9" x14ac:dyDescent="0.25">
      <c r="A124" s="8" t="s">
        <v>2083</v>
      </c>
      <c r="B124" s="7">
        <v>5</v>
      </c>
      <c r="C124" s="8" t="s">
        <v>2284</v>
      </c>
      <c r="D124" s="8" t="s">
        <v>2288</v>
      </c>
      <c r="E124" s="18" t="s">
        <v>1140</v>
      </c>
      <c r="F124" s="7"/>
    </row>
    <row r="125" spans="1:9" x14ac:dyDescent="0.25">
      <c r="A125" s="10"/>
      <c r="B125" s="9"/>
      <c r="C125" s="10"/>
      <c r="D125" s="10"/>
      <c r="E125" s="19"/>
      <c r="F125" s="9"/>
      <c r="G125" s="10"/>
      <c r="H125" s="10"/>
      <c r="I125" s="10"/>
    </row>
    <row r="126" spans="1:9" x14ac:dyDescent="0.25">
      <c r="A126" s="8" t="s">
        <v>2095</v>
      </c>
      <c r="B126" s="7">
        <v>1</v>
      </c>
      <c r="C126" s="8" t="s">
        <v>81</v>
      </c>
      <c r="D126" s="7" t="s">
        <v>82</v>
      </c>
      <c r="E126" s="15" t="s">
        <v>1020</v>
      </c>
      <c r="F126" s="7"/>
    </row>
    <row r="127" spans="1:9" x14ac:dyDescent="0.25">
      <c r="A127" s="8" t="s">
        <v>2095</v>
      </c>
      <c r="B127" s="7">
        <v>2</v>
      </c>
      <c r="C127" s="8" t="s">
        <v>83</v>
      </c>
      <c r="D127" s="7" t="s">
        <v>84</v>
      </c>
      <c r="E127" s="15" t="s">
        <v>1021</v>
      </c>
      <c r="F127" s="7"/>
    </row>
    <row r="128" spans="1:9" x14ac:dyDescent="0.25">
      <c r="A128" s="8" t="s">
        <v>2095</v>
      </c>
      <c r="B128" s="7">
        <v>3</v>
      </c>
      <c r="C128" s="8" t="s">
        <v>93</v>
      </c>
      <c r="D128" s="8" t="s">
        <v>94</v>
      </c>
      <c r="E128" s="15" t="s">
        <v>2289</v>
      </c>
      <c r="F128" s="7"/>
    </row>
    <row r="129" spans="1:9" x14ac:dyDescent="0.25">
      <c r="A129" s="10"/>
      <c r="B129" s="9"/>
      <c r="C129" s="10"/>
      <c r="D129" s="10"/>
      <c r="E129" s="17"/>
      <c r="F129" s="9"/>
      <c r="G129" s="10"/>
      <c r="H129" s="10"/>
      <c r="I129" s="10"/>
    </row>
    <row r="130" spans="1:9" x14ac:dyDescent="0.25">
      <c r="A130" s="8" t="s">
        <v>2102</v>
      </c>
      <c r="B130" s="7">
        <v>1</v>
      </c>
      <c r="C130" s="8" t="s">
        <v>81</v>
      </c>
      <c r="D130" s="7" t="s">
        <v>82</v>
      </c>
      <c r="E130" s="15" t="s">
        <v>1020</v>
      </c>
      <c r="F130" s="7"/>
    </row>
    <row r="131" spans="1:9" x14ac:dyDescent="0.25">
      <c r="A131" s="8" t="s">
        <v>2102</v>
      </c>
      <c r="B131" s="7">
        <v>2</v>
      </c>
      <c r="C131" s="8" t="s">
        <v>83</v>
      </c>
      <c r="D131" s="7" t="s">
        <v>84</v>
      </c>
      <c r="E131" s="15" t="s">
        <v>1021</v>
      </c>
      <c r="F131" s="7"/>
    </row>
    <row r="132" spans="1:9" x14ac:dyDescent="0.25">
      <c r="A132" s="8" t="s">
        <v>2102</v>
      </c>
      <c r="B132" s="7">
        <v>3</v>
      </c>
      <c r="C132" s="8" t="s">
        <v>95</v>
      </c>
      <c r="D132" s="8" t="s">
        <v>96</v>
      </c>
      <c r="E132" s="8" t="s">
        <v>1873</v>
      </c>
      <c r="F132" s="7"/>
    </row>
    <row r="133" spans="1:9" x14ac:dyDescent="0.25">
      <c r="A133" s="10"/>
      <c r="B133" s="9"/>
      <c r="C133" s="10"/>
      <c r="D133" s="10"/>
      <c r="E133" s="10"/>
      <c r="F133" s="9"/>
      <c r="G133" s="10"/>
      <c r="H133" s="10"/>
      <c r="I133" s="10"/>
    </row>
    <row r="134" spans="1:9" x14ac:dyDescent="0.25">
      <c r="A134" s="8" t="s">
        <v>2122</v>
      </c>
      <c r="B134" s="7">
        <v>1</v>
      </c>
      <c r="C134" s="8" t="s">
        <v>97</v>
      </c>
      <c r="D134" s="8" t="s">
        <v>98</v>
      </c>
      <c r="E134" s="7" t="s">
        <v>1141</v>
      </c>
      <c r="F134" s="7"/>
    </row>
    <row r="135" spans="1:9" x14ac:dyDescent="0.25">
      <c r="A135" s="8" t="s">
        <v>2122</v>
      </c>
      <c r="B135" s="7">
        <v>2</v>
      </c>
      <c r="C135" s="8" t="s">
        <v>99</v>
      </c>
      <c r="D135" s="7" t="s">
        <v>100</v>
      </c>
      <c r="E135" s="7" t="s">
        <v>1142</v>
      </c>
      <c r="F135" s="7"/>
    </row>
    <row r="136" spans="1:9" x14ac:dyDescent="0.25">
      <c r="A136" s="8" t="s">
        <v>2122</v>
      </c>
      <c r="B136" s="7">
        <v>3</v>
      </c>
      <c r="C136" s="8" t="s">
        <v>101</v>
      </c>
      <c r="D136" s="8" t="s">
        <v>102</v>
      </c>
      <c r="E136" s="7" t="s">
        <v>1143</v>
      </c>
      <c r="F136" s="7"/>
    </row>
    <row r="137" spans="1:9" x14ac:dyDescent="0.25">
      <c r="A137" s="8" t="s">
        <v>2122</v>
      </c>
      <c r="B137" s="7">
        <v>4</v>
      </c>
      <c r="C137" s="8" t="s">
        <v>699</v>
      </c>
      <c r="D137" s="8" t="s">
        <v>103</v>
      </c>
      <c r="E137" s="7" t="s">
        <v>1144</v>
      </c>
      <c r="F137" s="7"/>
    </row>
    <row r="138" spans="1:9" x14ac:dyDescent="0.25">
      <c r="A138" s="10"/>
      <c r="B138" s="9"/>
      <c r="C138" s="10"/>
      <c r="D138" s="10"/>
      <c r="E138" s="9"/>
      <c r="F138" s="9"/>
      <c r="G138" s="10"/>
      <c r="H138" s="10"/>
      <c r="I138" s="10"/>
    </row>
    <row r="139" spans="1:9" x14ac:dyDescent="0.25">
      <c r="A139" s="8" t="s">
        <v>2131</v>
      </c>
      <c r="B139" s="7">
        <v>1</v>
      </c>
      <c r="C139" s="8" t="s">
        <v>104</v>
      </c>
      <c r="D139" s="8" t="s">
        <v>261</v>
      </c>
      <c r="E139" s="8" t="s">
        <v>1145</v>
      </c>
      <c r="F139" s="7"/>
    </row>
    <row r="140" spans="1:9" x14ac:dyDescent="0.25">
      <c r="A140" s="8" t="s">
        <v>2131</v>
      </c>
      <c r="B140" s="7">
        <v>2</v>
      </c>
      <c r="C140" s="8" t="s">
        <v>105</v>
      </c>
      <c r="D140" s="7" t="s">
        <v>256</v>
      </c>
      <c r="E140" s="7" t="s">
        <v>1146</v>
      </c>
      <c r="F140" s="7"/>
    </row>
    <row r="141" spans="1:9" x14ac:dyDescent="0.25">
      <c r="A141" s="8" t="s">
        <v>2131</v>
      </c>
      <c r="B141" s="7">
        <v>3</v>
      </c>
      <c r="C141" s="8" t="s">
        <v>106</v>
      </c>
      <c r="D141" s="7" t="s">
        <v>257</v>
      </c>
      <c r="E141" s="7" t="s">
        <v>1147</v>
      </c>
      <c r="F141" s="7"/>
    </row>
    <row r="142" spans="1:9" x14ac:dyDescent="0.25">
      <c r="A142" s="8" t="s">
        <v>2131</v>
      </c>
      <c r="B142" s="7">
        <v>4</v>
      </c>
      <c r="C142" s="8" t="s">
        <v>64</v>
      </c>
      <c r="D142" s="7" t="s">
        <v>258</v>
      </c>
      <c r="E142" s="7" t="s">
        <v>1148</v>
      </c>
      <c r="F142" s="7"/>
    </row>
    <row r="143" spans="1:9" x14ac:dyDescent="0.25">
      <c r="A143" s="8" t="s">
        <v>2131</v>
      </c>
      <c r="B143" s="7">
        <v>5</v>
      </c>
      <c r="C143" s="8" t="s">
        <v>107</v>
      </c>
      <c r="D143" s="7" t="s">
        <v>259</v>
      </c>
      <c r="E143" s="13" t="s">
        <v>2132</v>
      </c>
      <c r="F143" s="7"/>
    </row>
    <row r="144" spans="1:9" x14ac:dyDescent="0.25">
      <c r="A144" s="8" t="s">
        <v>2131</v>
      </c>
      <c r="B144" s="7">
        <v>6</v>
      </c>
      <c r="C144" s="8" t="s">
        <v>108</v>
      </c>
      <c r="D144" s="7" t="s">
        <v>260</v>
      </c>
      <c r="E144" s="13" t="s">
        <v>1149</v>
      </c>
      <c r="F144" s="7"/>
    </row>
    <row r="145" spans="1:9" x14ac:dyDescent="0.25">
      <c r="A145" s="8" t="s">
        <v>2131</v>
      </c>
      <c r="B145" s="7">
        <v>96</v>
      </c>
      <c r="C145" s="8" t="s">
        <v>78</v>
      </c>
      <c r="D145" s="13" t="s">
        <v>79</v>
      </c>
      <c r="E145" s="13" t="s">
        <v>1006</v>
      </c>
      <c r="F145" s="7"/>
    </row>
    <row r="146" spans="1:9" x14ac:dyDescent="0.25">
      <c r="A146" s="10"/>
      <c r="B146" s="9"/>
      <c r="C146" s="10"/>
      <c r="D146" s="9"/>
      <c r="E146" s="9"/>
      <c r="F146" s="9"/>
      <c r="G146" s="10"/>
      <c r="H146" s="10"/>
      <c r="I146" s="10"/>
    </row>
    <row r="147" spans="1:9" x14ac:dyDescent="0.25">
      <c r="A147" s="8" t="s">
        <v>2178</v>
      </c>
      <c r="B147" s="7">
        <v>1</v>
      </c>
      <c r="C147" s="8" t="s">
        <v>1151</v>
      </c>
      <c r="D147" s="7" t="s">
        <v>1153</v>
      </c>
      <c r="E147" s="7" t="s">
        <v>1155</v>
      </c>
      <c r="F147" s="7"/>
    </row>
    <row r="148" spans="1:9" x14ac:dyDescent="0.25">
      <c r="A148" s="8" t="s">
        <v>2178</v>
      </c>
      <c r="B148" s="7">
        <v>2</v>
      </c>
      <c r="C148" s="7">
        <v>2</v>
      </c>
      <c r="D148" s="7">
        <v>2</v>
      </c>
      <c r="E148" s="7">
        <v>2</v>
      </c>
      <c r="F148" s="7"/>
    </row>
    <row r="149" spans="1:9" x14ac:dyDescent="0.25">
      <c r="A149" s="8" t="s">
        <v>2178</v>
      </c>
      <c r="B149" s="7">
        <v>3</v>
      </c>
      <c r="C149" s="7">
        <v>3</v>
      </c>
      <c r="D149" s="7">
        <v>3</v>
      </c>
      <c r="E149" s="7">
        <v>3</v>
      </c>
      <c r="F149" s="7"/>
    </row>
    <row r="150" spans="1:9" x14ac:dyDescent="0.25">
      <c r="A150" s="8" t="s">
        <v>2178</v>
      </c>
      <c r="B150" s="7">
        <v>4</v>
      </c>
      <c r="C150" s="7">
        <v>4</v>
      </c>
      <c r="D150" s="7">
        <v>4</v>
      </c>
      <c r="E150" s="7">
        <v>4</v>
      </c>
      <c r="F150" s="7"/>
    </row>
    <row r="151" spans="1:9" x14ac:dyDescent="0.25">
      <c r="A151" s="8" t="s">
        <v>2178</v>
      </c>
      <c r="B151" s="7">
        <v>5</v>
      </c>
      <c r="C151" s="7">
        <v>5</v>
      </c>
      <c r="D151" s="7">
        <v>5</v>
      </c>
      <c r="E151" s="7">
        <v>5</v>
      </c>
      <c r="F151" s="7"/>
    </row>
    <row r="152" spans="1:9" x14ac:dyDescent="0.25">
      <c r="A152" s="8" t="s">
        <v>2178</v>
      </c>
      <c r="B152" s="7">
        <v>6</v>
      </c>
      <c r="C152" s="7">
        <v>6</v>
      </c>
      <c r="D152" s="7">
        <v>6</v>
      </c>
      <c r="E152" s="7">
        <v>6</v>
      </c>
      <c r="F152" s="7"/>
    </row>
    <row r="153" spans="1:9" x14ac:dyDescent="0.25">
      <c r="A153" s="8" t="s">
        <v>2178</v>
      </c>
      <c r="B153" s="7">
        <v>7</v>
      </c>
      <c r="C153" s="7">
        <v>7</v>
      </c>
      <c r="D153" s="7">
        <v>7</v>
      </c>
      <c r="E153" s="7">
        <v>7</v>
      </c>
      <c r="F153" s="7"/>
    </row>
    <row r="154" spans="1:9" x14ac:dyDescent="0.25">
      <c r="A154" s="8" t="s">
        <v>2178</v>
      </c>
      <c r="B154" s="7">
        <v>8</v>
      </c>
      <c r="C154" s="7">
        <v>8</v>
      </c>
      <c r="D154" s="7">
        <v>8</v>
      </c>
      <c r="E154" s="7">
        <v>8</v>
      </c>
      <c r="F154" s="7"/>
    </row>
    <row r="155" spans="1:9" x14ac:dyDescent="0.25">
      <c r="A155" s="8" t="s">
        <v>2178</v>
      </c>
      <c r="B155" s="7">
        <v>9</v>
      </c>
      <c r="C155" s="7">
        <v>9</v>
      </c>
      <c r="D155" s="7">
        <v>9</v>
      </c>
      <c r="E155" s="7">
        <v>9</v>
      </c>
      <c r="F155" s="7"/>
    </row>
    <row r="156" spans="1:9" x14ac:dyDescent="0.25">
      <c r="A156" s="8" t="s">
        <v>2178</v>
      </c>
      <c r="B156" s="7">
        <v>10</v>
      </c>
      <c r="C156" s="8" t="s">
        <v>1152</v>
      </c>
      <c r="D156" s="7" t="s">
        <v>1154</v>
      </c>
      <c r="E156" s="7" t="s">
        <v>1156</v>
      </c>
      <c r="F156" s="7"/>
    </row>
    <row r="157" spans="1:9" x14ac:dyDescent="0.25">
      <c r="A157" s="10"/>
      <c r="B157" s="9"/>
      <c r="C157" s="10"/>
      <c r="D157" s="9"/>
      <c r="E157" s="9"/>
      <c r="F157" s="9"/>
      <c r="G157" s="10"/>
      <c r="H157" s="10"/>
      <c r="I157" s="10"/>
    </row>
    <row r="158" spans="1:9" x14ac:dyDescent="0.25">
      <c r="A158" s="8" t="s">
        <v>2981</v>
      </c>
      <c r="B158" s="7">
        <v>1</v>
      </c>
      <c r="C158" s="8" t="s">
        <v>275</v>
      </c>
      <c r="D158" s="8" t="s">
        <v>275</v>
      </c>
      <c r="E158" s="8" t="s">
        <v>275</v>
      </c>
      <c r="F158" s="7"/>
      <c r="G158" s="7">
        <v>1</v>
      </c>
    </row>
    <row r="159" spans="1:9" x14ac:dyDescent="0.25">
      <c r="A159" s="8" t="s">
        <v>2981</v>
      </c>
      <c r="B159" s="7">
        <v>2</v>
      </c>
      <c r="C159" s="8" t="s">
        <v>276</v>
      </c>
      <c r="D159" s="8" t="s">
        <v>276</v>
      </c>
      <c r="E159" s="8" t="s">
        <v>276</v>
      </c>
      <c r="F159" s="7"/>
      <c r="G159" s="7">
        <v>2</v>
      </c>
    </row>
    <row r="160" spans="1:9" x14ac:dyDescent="0.25">
      <c r="A160" s="8" t="s">
        <v>2981</v>
      </c>
      <c r="B160" s="7">
        <v>3</v>
      </c>
      <c r="C160" s="8" t="s">
        <v>277</v>
      </c>
      <c r="D160" s="8" t="s">
        <v>277</v>
      </c>
      <c r="E160" s="8" t="s">
        <v>277</v>
      </c>
      <c r="F160" s="7"/>
      <c r="G160" s="7">
        <v>3</v>
      </c>
    </row>
    <row r="161" spans="1:7" x14ac:dyDescent="0.25">
      <c r="A161" s="8" t="s">
        <v>2981</v>
      </c>
      <c r="B161" s="7">
        <v>4</v>
      </c>
      <c r="C161" s="8" t="s">
        <v>278</v>
      </c>
      <c r="D161" s="8" t="s">
        <v>278</v>
      </c>
      <c r="E161" s="8" t="s">
        <v>278</v>
      </c>
      <c r="F161" s="7"/>
      <c r="G161" s="7">
        <v>4</v>
      </c>
    </row>
    <row r="162" spans="1:7" x14ac:dyDescent="0.25">
      <c r="A162" s="8" t="s">
        <v>2981</v>
      </c>
      <c r="B162" s="7">
        <v>5</v>
      </c>
      <c r="C162" s="8" t="s">
        <v>279</v>
      </c>
      <c r="D162" s="8" t="s">
        <v>279</v>
      </c>
      <c r="E162" s="8" t="s">
        <v>279</v>
      </c>
      <c r="F162" s="7"/>
      <c r="G162" s="7">
        <v>5</v>
      </c>
    </row>
    <row r="163" spans="1:7" x14ac:dyDescent="0.25">
      <c r="A163" s="8" t="s">
        <v>2981</v>
      </c>
      <c r="B163" s="7">
        <v>6</v>
      </c>
      <c r="C163" s="8" t="s">
        <v>280</v>
      </c>
      <c r="D163" s="8" t="s">
        <v>280</v>
      </c>
      <c r="E163" s="8" t="s">
        <v>280</v>
      </c>
      <c r="F163" s="7"/>
      <c r="G163" s="7">
        <v>6</v>
      </c>
    </row>
    <row r="164" spans="1:7" x14ac:dyDescent="0.25">
      <c r="A164" s="8" t="s">
        <v>2981</v>
      </c>
      <c r="B164" s="7">
        <v>7</v>
      </c>
      <c r="C164" s="8" t="s">
        <v>281</v>
      </c>
      <c r="D164" s="8" t="s">
        <v>281</v>
      </c>
      <c r="E164" s="8" t="s">
        <v>281</v>
      </c>
      <c r="F164" s="7"/>
      <c r="G164" s="7">
        <v>7</v>
      </c>
    </row>
    <row r="165" spans="1:7" x14ac:dyDescent="0.25">
      <c r="A165" s="8" t="s">
        <v>2981</v>
      </c>
      <c r="B165" s="7">
        <v>8</v>
      </c>
      <c r="C165" s="8" t="s">
        <v>282</v>
      </c>
      <c r="D165" s="8" t="s">
        <v>282</v>
      </c>
      <c r="E165" s="8" t="s">
        <v>282</v>
      </c>
      <c r="F165" s="7"/>
      <c r="G165" s="7">
        <v>8</v>
      </c>
    </row>
    <row r="166" spans="1:7" x14ac:dyDescent="0.25">
      <c r="A166" s="8" t="s">
        <v>2981</v>
      </c>
      <c r="B166" s="7">
        <v>9</v>
      </c>
      <c r="C166" s="8" t="s">
        <v>283</v>
      </c>
      <c r="D166" s="8" t="s">
        <v>283</v>
      </c>
      <c r="E166" s="8" t="s">
        <v>283</v>
      </c>
      <c r="F166" s="7"/>
      <c r="G166" s="7">
        <v>9</v>
      </c>
    </row>
    <row r="167" spans="1:7" x14ac:dyDescent="0.25">
      <c r="A167" s="8" t="s">
        <v>2981</v>
      </c>
      <c r="B167" s="7">
        <v>10</v>
      </c>
      <c r="C167" s="8" t="s">
        <v>284</v>
      </c>
      <c r="D167" s="8" t="s">
        <v>284</v>
      </c>
      <c r="E167" s="8" t="s">
        <v>284</v>
      </c>
      <c r="F167" s="7"/>
      <c r="G167" s="7">
        <v>10</v>
      </c>
    </row>
    <row r="168" spans="1:7" x14ac:dyDescent="0.25">
      <c r="A168" s="8" t="s">
        <v>2981</v>
      </c>
      <c r="B168" s="7">
        <v>11</v>
      </c>
      <c r="C168" s="8" t="s">
        <v>290</v>
      </c>
      <c r="D168" s="8" t="s">
        <v>290</v>
      </c>
      <c r="E168" s="8" t="s">
        <v>290</v>
      </c>
      <c r="F168" s="7"/>
      <c r="G168" s="7">
        <v>11</v>
      </c>
    </row>
    <row r="169" spans="1:7" x14ac:dyDescent="0.25">
      <c r="A169" s="8" t="s">
        <v>2981</v>
      </c>
      <c r="B169" s="7">
        <v>12</v>
      </c>
      <c r="C169" s="8" t="s">
        <v>291</v>
      </c>
      <c r="D169" s="8" t="s">
        <v>291</v>
      </c>
      <c r="E169" s="8" t="s">
        <v>291</v>
      </c>
      <c r="F169" s="7"/>
      <c r="G169" s="7">
        <v>12</v>
      </c>
    </row>
    <row r="170" spans="1:7" x14ac:dyDescent="0.25">
      <c r="A170" s="8" t="s">
        <v>2981</v>
      </c>
      <c r="B170" s="7">
        <v>13</v>
      </c>
      <c r="C170" s="8" t="s">
        <v>292</v>
      </c>
      <c r="D170" s="8" t="s">
        <v>292</v>
      </c>
      <c r="E170" s="8" t="s">
        <v>292</v>
      </c>
      <c r="F170" s="7"/>
      <c r="G170" s="7">
        <v>13</v>
      </c>
    </row>
    <row r="171" spans="1:7" x14ac:dyDescent="0.25">
      <c r="A171" s="8" t="s">
        <v>2981</v>
      </c>
      <c r="B171" s="7">
        <v>14</v>
      </c>
      <c r="C171" s="8" t="s">
        <v>293</v>
      </c>
      <c r="D171" s="8" t="s">
        <v>293</v>
      </c>
      <c r="E171" s="8" t="s">
        <v>293</v>
      </c>
      <c r="F171" s="7"/>
      <c r="G171" s="7">
        <v>14</v>
      </c>
    </row>
    <row r="172" spans="1:7" x14ac:dyDescent="0.25">
      <c r="A172" s="8" t="s">
        <v>2981</v>
      </c>
      <c r="B172" s="7">
        <v>15</v>
      </c>
      <c r="C172" s="8" t="s">
        <v>294</v>
      </c>
      <c r="D172" s="8" t="s">
        <v>294</v>
      </c>
      <c r="E172" s="8" t="s">
        <v>294</v>
      </c>
      <c r="F172" s="7"/>
      <c r="G172" s="7">
        <v>15</v>
      </c>
    </row>
    <row r="173" spans="1:7" x14ac:dyDescent="0.25">
      <c r="A173" s="8" t="s">
        <v>2981</v>
      </c>
      <c r="B173" s="7">
        <v>16</v>
      </c>
      <c r="C173" s="8" t="s">
        <v>477</v>
      </c>
      <c r="D173" s="8" t="s">
        <v>477</v>
      </c>
      <c r="E173" s="8" t="s">
        <v>477</v>
      </c>
      <c r="F173" s="7"/>
      <c r="G173" s="7">
        <v>16</v>
      </c>
    </row>
    <row r="174" spans="1:7" x14ac:dyDescent="0.25">
      <c r="A174" s="8" t="s">
        <v>2981</v>
      </c>
      <c r="B174" s="7">
        <v>17</v>
      </c>
      <c r="C174" s="8" t="s">
        <v>483</v>
      </c>
      <c r="D174" s="8" t="s">
        <v>483</v>
      </c>
      <c r="E174" s="8" t="s">
        <v>483</v>
      </c>
      <c r="F174" s="7"/>
      <c r="G174" s="7">
        <v>17</v>
      </c>
    </row>
    <row r="175" spans="1:7" x14ac:dyDescent="0.25">
      <c r="A175" s="8" t="s">
        <v>2981</v>
      </c>
      <c r="B175" s="7">
        <v>18</v>
      </c>
      <c r="C175" s="8" t="s">
        <v>484</v>
      </c>
      <c r="D175" s="8" t="s">
        <v>484</v>
      </c>
      <c r="E175" s="8" t="s">
        <v>484</v>
      </c>
      <c r="F175" s="7"/>
      <c r="G175" s="7">
        <v>18</v>
      </c>
    </row>
    <row r="176" spans="1:7" x14ac:dyDescent="0.25">
      <c r="A176" s="8" t="s">
        <v>2981</v>
      </c>
      <c r="B176" s="7">
        <v>19</v>
      </c>
      <c r="C176" s="8" t="s">
        <v>485</v>
      </c>
      <c r="D176" s="8" t="s">
        <v>485</v>
      </c>
      <c r="E176" s="8" t="s">
        <v>485</v>
      </c>
      <c r="F176" s="7"/>
      <c r="G176" s="7">
        <v>19</v>
      </c>
    </row>
    <row r="177" spans="1:9" x14ac:dyDescent="0.25">
      <c r="A177" s="8" t="s">
        <v>2981</v>
      </c>
      <c r="B177" s="7">
        <v>20</v>
      </c>
      <c r="C177" s="8" t="s">
        <v>486</v>
      </c>
      <c r="D177" s="8" t="s">
        <v>486</v>
      </c>
      <c r="E177" s="8" t="s">
        <v>486</v>
      </c>
      <c r="F177" s="7"/>
      <c r="G177" s="7">
        <v>20</v>
      </c>
    </row>
    <row r="178" spans="1:9" x14ac:dyDescent="0.25">
      <c r="A178" s="8" t="s">
        <v>2981</v>
      </c>
      <c r="B178" s="7">
        <v>21</v>
      </c>
      <c r="C178" s="8" t="s">
        <v>478</v>
      </c>
      <c r="D178" s="8" t="s">
        <v>478</v>
      </c>
      <c r="E178" s="8" t="s">
        <v>478</v>
      </c>
      <c r="F178" s="7"/>
      <c r="G178" s="7">
        <v>21</v>
      </c>
    </row>
    <row r="179" spans="1:9" x14ac:dyDescent="0.25">
      <c r="A179" s="8" t="s">
        <v>2981</v>
      </c>
      <c r="B179" s="7">
        <v>22</v>
      </c>
      <c r="C179" s="8" t="s">
        <v>479</v>
      </c>
      <c r="D179" s="8" t="s">
        <v>479</v>
      </c>
      <c r="E179" s="8" t="s">
        <v>479</v>
      </c>
      <c r="F179" s="7"/>
      <c r="G179" s="7">
        <v>22</v>
      </c>
    </row>
    <row r="180" spans="1:9" x14ac:dyDescent="0.25">
      <c r="A180" s="8" t="s">
        <v>2981</v>
      </c>
      <c r="B180" s="7">
        <v>23</v>
      </c>
      <c r="C180" s="8" t="s">
        <v>480</v>
      </c>
      <c r="D180" s="8" t="s">
        <v>480</v>
      </c>
      <c r="E180" s="8" t="s">
        <v>480</v>
      </c>
      <c r="F180" s="7"/>
      <c r="G180" s="7">
        <v>23</v>
      </c>
    </row>
    <row r="181" spans="1:9" x14ac:dyDescent="0.25">
      <c r="A181" s="8" t="s">
        <v>2981</v>
      </c>
      <c r="B181" s="7">
        <v>24</v>
      </c>
      <c r="C181" s="8" t="s">
        <v>481</v>
      </c>
      <c r="D181" s="8" t="s">
        <v>481</v>
      </c>
      <c r="E181" s="8" t="s">
        <v>481</v>
      </c>
      <c r="F181" s="7"/>
      <c r="G181" s="7">
        <v>24</v>
      </c>
    </row>
    <row r="182" spans="1:9" x14ac:dyDescent="0.25">
      <c r="A182" s="8" t="s">
        <v>2981</v>
      </c>
      <c r="B182" s="7">
        <v>25</v>
      </c>
      <c r="C182" s="8" t="s">
        <v>482</v>
      </c>
      <c r="D182" s="8" t="s">
        <v>482</v>
      </c>
      <c r="E182" s="8" t="s">
        <v>482</v>
      </c>
      <c r="F182" s="7"/>
      <c r="G182" s="7">
        <v>25</v>
      </c>
    </row>
    <row r="183" spans="1:9" x14ac:dyDescent="0.25">
      <c r="A183" s="10"/>
      <c r="B183" s="9"/>
      <c r="C183" s="10"/>
      <c r="D183" s="10"/>
      <c r="E183" s="10"/>
      <c r="F183" s="9"/>
      <c r="G183" s="9"/>
      <c r="H183" s="10"/>
      <c r="I183" s="10"/>
    </row>
    <row r="184" spans="1:9" x14ac:dyDescent="0.25">
      <c r="A184" s="8" t="s">
        <v>2199</v>
      </c>
      <c r="B184" s="8">
        <v>1</v>
      </c>
      <c r="C184" s="8" t="s">
        <v>109</v>
      </c>
      <c r="D184" s="7" t="s">
        <v>110</v>
      </c>
      <c r="E184" s="8" t="s">
        <v>110</v>
      </c>
    </row>
    <row r="185" spans="1:9" x14ac:dyDescent="0.25">
      <c r="A185" s="7" t="s">
        <v>2199</v>
      </c>
      <c r="B185" s="7">
        <v>2</v>
      </c>
      <c r="C185" s="7" t="s">
        <v>111</v>
      </c>
      <c r="D185" s="7" t="s">
        <v>112</v>
      </c>
      <c r="E185" s="7" t="s">
        <v>1192</v>
      </c>
    </row>
    <row r="186" spans="1:9" x14ac:dyDescent="0.25">
      <c r="A186" s="7" t="s">
        <v>2199</v>
      </c>
      <c r="B186" s="7">
        <v>3</v>
      </c>
      <c r="C186" s="7" t="s">
        <v>700</v>
      </c>
      <c r="D186" s="7" t="s">
        <v>701</v>
      </c>
      <c r="E186" s="7" t="s">
        <v>1193</v>
      </c>
    </row>
    <row r="187" spans="1:9" x14ac:dyDescent="0.25">
      <c r="A187" s="7" t="s">
        <v>2199</v>
      </c>
      <c r="B187" s="7">
        <v>4</v>
      </c>
      <c r="C187" s="7" t="s">
        <v>113</v>
      </c>
      <c r="D187" s="7" t="s">
        <v>114</v>
      </c>
      <c r="E187" s="7" t="s">
        <v>1194</v>
      </c>
    </row>
    <row r="188" spans="1:9" x14ac:dyDescent="0.25">
      <c r="A188" s="7" t="s">
        <v>2199</v>
      </c>
      <c r="B188" s="7">
        <v>5</v>
      </c>
      <c r="C188" s="7" t="s">
        <v>702</v>
      </c>
      <c r="D188" s="7" t="s">
        <v>703</v>
      </c>
      <c r="E188" s="7" t="s">
        <v>1195</v>
      </c>
    </row>
    <row r="189" spans="1:9" x14ac:dyDescent="0.25">
      <c r="A189" s="7" t="s">
        <v>2199</v>
      </c>
      <c r="B189" s="7">
        <v>96</v>
      </c>
      <c r="C189" s="7" t="s">
        <v>78</v>
      </c>
      <c r="D189" s="7" t="s">
        <v>79</v>
      </c>
      <c r="E189" s="7" t="s">
        <v>1006</v>
      </c>
      <c r="F189" s="7"/>
    </row>
    <row r="190" spans="1:9" x14ac:dyDescent="0.25">
      <c r="A190" s="7" t="s">
        <v>2199</v>
      </c>
      <c r="B190" s="7">
        <v>97</v>
      </c>
      <c r="C190" s="7" t="s">
        <v>335</v>
      </c>
      <c r="D190" s="7" t="s">
        <v>321</v>
      </c>
      <c r="E190" s="7" t="s">
        <v>2198</v>
      </c>
    </row>
    <row r="191" spans="1:9" x14ac:dyDescent="0.25">
      <c r="A191" s="7" t="s">
        <v>2199</v>
      </c>
      <c r="B191" s="7">
        <v>98</v>
      </c>
      <c r="C191" s="7" t="s">
        <v>85</v>
      </c>
      <c r="D191" s="7" t="s">
        <v>86</v>
      </c>
      <c r="E191" s="7" t="s">
        <v>1191</v>
      </c>
      <c r="F191" s="7"/>
    </row>
    <row r="192" spans="1:9" x14ac:dyDescent="0.25">
      <c r="A192" s="10"/>
      <c r="B192" s="10"/>
      <c r="C192" s="10"/>
      <c r="D192" s="10"/>
      <c r="E192" s="10"/>
      <c r="F192" s="10"/>
      <c r="G192" s="10"/>
      <c r="H192" s="10"/>
      <c r="I192" s="10"/>
    </row>
    <row r="193" spans="1:9" x14ac:dyDescent="0.25">
      <c r="A193" s="8" t="s">
        <v>2201</v>
      </c>
      <c r="B193" s="7">
        <v>1</v>
      </c>
      <c r="C193" s="8" t="s">
        <v>81</v>
      </c>
      <c r="D193" s="7" t="s">
        <v>82</v>
      </c>
      <c r="E193" s="15" t="s">
        <v>1020</v>
      </c>
    </row>
    <row r="194" spans="1:9" x14ac:dyDescent="0.25">
      <c r="A194" s="8" t="s">
        <v>2201</v>
      </c>
      <c r="B194" s="7">
        <v>2</v>
      </c>
      <c r="C194" s="8" t="s">
        <v>83</v>
      </c>
      <c r="D194" s="7" t="s">
        <v>84</v>
      </c>
      <c r="E194" s="8" t="s">
        <v>1021</v>
      </c>
    </row>
    <row r="195" spans="1:9" x14ac:dyDescent="0.25">
      <c r="A195" s="8" t="s">
        <v>2201</v>
      </c>
      <c r="B195" s="7">
        <v>99</v>
      </c>
      <c r="C195" s="8" t="s">
        <v>85</v>
      </c>
      <c r="D195" s="7" t="s">
        <v>86</v>
      </c>
      <c r="E195" s="8" t="s">
        <v>1191</v>
      </c>
    </row>
    <row r="196" spans="1:9" x14ac:dyDescent="0.25">
      <c r="A196" s="10"/>
      <c r="B196" s="9"/>
      <c r="C196" s="10"/>
      <c r="D196" s="9"/>
      <c r="E196" s="10"/>
      <c r="F196" s="10"/>
      <c r="G196" s="10"/>
      <c r="H196" s="10"/>
      <c r="I196" s="10"/>
    </row>
    <row r="197" spans="1:9" x14ac:dyDescent="0.25">
      <c r="A197" s="8" t="s">
        <v>2208</v>
      </c>
      <c r="B197" s="8">
        <v>1</v>
      </c>
      <c r="C197" s="8" t="s">
        <v>109</v>
      </c>
      <c r="D197" s="7" t="s">
        <v>110</v>
      </c>
      <c r="E197" s="8" t="s">
        <v>110</v>
      </c>
    </row>
    <row r="198" spans="1:9" x14ac:dyDescent="0.25">
      <c r="A198" s="8" t="s">
        <v>2208</v>
      </c>
      <c r="B198" s="8">
        <v>2</v>
      </c>
      <c r="C198" s="8" t="s">
        <v>111</v>
      </c>
      <c r="D198" s="7" t="s">
        <v>112</v>
      </c>
      <c r="E198" s="8" t="s">
        <v>1192</v>
      </c>
    </row>
    <row r="199" spans="1:9" x14ac:dyDescent="0.25">
      <c r="A199" s="8" t="s">
        <v>2208</v>
      </c>
      <c r="B199" s="8">
        <v>3</v>
      </c>
      <c r="C199" s="8" t="s">
        <v>704</v>
      </c>
      <c r="D199" s="7" t="s">
        <v>705</v>
      </c>
      <c r="E199" s="8" t="s">
        <v>1193</v>
      </c>
    </row>
    <row r="200" spans="1:9" x14ac:dyDescent="0.25">
      <c r="A200" s="8" t="s">
        <v>2208</v>
      </c>
      <c r="B200" s="8">
        <v>4</v>
      </c>
      <c r="C200" s="8" t="s">
        <v>113</v>
      </c>
      <c r="D200" s="7" t="s">
        <v>114</v>
      </c>
      <c r="E200" s="8" t="s">
        <v>1194</v>
      </c>
    </row>
    <row r="201" spans="1:9" x14ac:dyDescent="0.25">
      <c r="A201" s="8" t="s">
        <v>2208</v>
      </c>
      <c r="B201" s="8">
        <v>5</v>
      </c>
      <c r="C201" s="8" t="s">
        <v>308</v>
      </c>
      <c r="D201" s="7" t="s">
        <v>309</v>
      </c>
      <c r="E201" s="8" t="s">
        <v>1195</v>
      </c>
    </row>
    <row r="202" spans="1:9" x14ac:dyDescent="0.25">
      <c r="A202" s="8" t="s">
        <v>2208</v>
      </c>
      <c r="B202" s="8">
        <v>96</v>
      </c>
      <c r="C202" s="8" t="s">
        <v>78</v>
      </c>
      <c r="D202" s="8" t="s">
        <v>79</v>
      </c>
      <c r="E202" s="8" t="s">
        <v>1006</v>
      </c>
    </row>
    <row r="203" spans="1:9" x14ac:dyDescent="0.25">
      <c r="A203" s="10"/>
      <c r="B203" s="10"/>
      <c r="C203" s="10"/>
      <c r="D203" s="10"/>
      <c r="E203" s="10"/>
      <c r="F203" s="10"/>
      <c r="G203" s="10"/>
      <c r="H203" s="10"/>
      <c r="I203" s="10"/>
    </row>
    <row r="204" spans="1:9" x14ac:dyDescent="0.25">
      <c r="A204" s="8" t="s">
        <v>2211</v>
      </c>
      <c r="B204" s="7">
        <v>1</v>
      </c>
      <c r="C204" s="8" t="s">
        <v>115</v>
      </c>
      <c r="D204" s="8" t="s">
        <v>116</v>
      </c>
      <c r="E204" s="8" t="s">
        <v>1196</v>
      </c>
      <c r="F204" s="7"/>
    </row>
    <row r="205" spans="1:9" x14ac:dyDescent="0.25">
      <c r="A205" s="8" t="s">
        <v>2211</v>
      </c>
      <c r="B205" s="7">
        <v>2</v>
      </c>
      <c r="C205" s="8" t="s">
        <v>117</v>
      </c>
      <c r="D205" s="8" t="s">
        <v>118</v>
      </c>
      <c r="E205" s="8" t="s">
        <v>1197</v>
      </c>
      <c r="F205" s="7"/>
    </row>
    <row r="206" spans="1:9" x14ac:dyDescent="0.25">
      <c r="A206" s="8" t="s">
        <v>2211</v>
      </c>
      <c r="B206" s="7">
        <v>3</v>
      </c>
      <c r="C206" s="8" t="s">
        <v>119</v>
      </c>
      <c r="D206" s="8" t="s">
        <v>120</v>
      </c>
      <c r="E206" s="7" t="s">
        <v>1198</v>
      </c>
      <c r="F206" s="7"/>
    </row>
    <row r="207" spans="1:9" x14ac:dyDescent="0.25">
      <c r="A207" s="8" t="s">
        <v>2211</v>
      </c>
      <c r="B207" s="7">
        <v>4</v>
      </c>
      <c r="C207" s="8" t="s">
        <v>121</v>
      </c>
      <c r="D207" s="8" t="s">
        <v>122</v>
      </c>
      <c r="E207" s="8" t="s">
        <v>1199</v>
      </c>
      <c r="F207" s="7"/>
    </row>
    <row r="208" spans="1:9" x14ac:dyDescent="0.25">
      <c r="A208" s="8" t="s">
        <v>2211</v>
      </c>
      <c r="B208" s="7">
        <v>5</v>
      </c>
      <c r="C208" s="8" t="s">
        <v>123</v>
      </c>
      <c r="D208" s="8" t="s">
        <v>124</v>
      </c>
      <c r="E208" s="8" t="s">
        <v>1200</v>
      </c>
      <c r="F208" s="7"/>
    </row>
    <row r="209" spans="1:9" x14ac:dyDescent="0.25">
      <c r="A209" s="8" t="s">
        <v>2211</v>
      </c>
      <c r="B209" s="7">
        <v>6</v>
      </c>
      <c r="C209" s="8" t="s">
        <v>125</v>
      </c>
      <c r="D209" s="8" t="s">
        <v>126</v>
      </c>
      <c r="E209" s="8" t="s">
        <v>1201</v>
      </c>
      <c r="F209" s="7"/>
    </row>
    <row r="210" spans="1:9" x14ac:dyDescent="0.25">
      <c r="A210" s="8" t="s">
        <v>2211</v>
      </c>
      <c r="B210" s="7">
        <v>7</v>
      </c>
      <c r="C210" s="8" t="s">
        <v>127</v>
      </c>
      <c r="D210" s="8" t="s">
        <v>128</v>
      </c>
      <c r="E210" s="8" t="s">
        <v>1202</v>
      </c>
      <c r="F210" s="7"/>
    </row>
    <row r="211" spans="1:9" x14ac:dyDescent="0.25">
      <c r="A211" s="8" t="s">
        <v>2211</v>
      </c>
      <c r="B211" s="7">
        <v>8</v>
      </c>
      <c r="C211" s="8" t="s">
        <v>2290</v>
      </c>
      <c r="D211" s="8" t="s">
        <v>129</v>
      </c>
      <c r="E211" s="8" t="s">
        <v>1203</v>
      </c>
      <c r="F211" s="7"/>
    </row>
    <row r="212" spans="1:9" x14ac:dyDescent="0.25">
      <c r="A212" s="8" t="s">
        <v>2211</v>
      </c>
      <c r="B212" s="7">
        <v>9</v>
      </c>
      <c r="C212" s="8" t="s">
        <v>130</v>
      </c>
      <c r="D212" s="8" t="s">
        <v>131</v>
      </c>
      <c r="E212" s="8" t="s">
        <v>1204</v>
      </c>
      <c r="F212" s="7"/>
    </row>
    <row r="213" spans="1:9" x14ac:dyDescent="0.25">
      <c r="A213" s="8" t="s">
        <v>2211</v>
      </c>
      <c r="B213" s="7">
        <v>10</v>
      </c>
      <c r="C213" s="8" t="s">
        <v>132</v>
      </c>
      <c r="D213" s="8" t="s">
        <v>133</v>
      </c>
      <c r="E213" s="8" t="s">
        <v>1205</v>
      </c>
      <c r="F213" s="7"/>
    </row>
    <row r="214" spans="1:9" x14ac:dyDescent="0.25">
      <c r="A214" s="8" t="s">
        <v>2211</v>
      </c>
      <c r="B214" s="7">
        <v>11</v>
      </c>
      <c r="C214" s="8" t="s">
        <v>134</v>
      </c>
      <c r="D214" s="8" t="s">
        <v>135</v>
      </c>
      <c r="E214" s="8" t="s">
        <v>1206</v>
      </c>
      <c r="F214" s="7"/>
    </row>
    <row r="215" spans="1:9" x14ac:dyDescent="0.25">
      <c r="A215" s="8" t="s">
        <v>2211</v>
      </c>
      <c r="B215" s="7">
        <v>12</v>
      </c>
      <c r="C215" s="8" t="s">
        <v>136</v>
      </c>
      <c r="D215" s="8" t="s">
        <v>137</v>
      </c>
      <c r="E215" s="8" t="s">
        <v>3296</v>
      </c>
      <c r="F215" s="7"/>
    </row>
    <row r="216" spans="1:9" x14ac:dyDescent="0.25">
      <c r="A216" s="8" t="s">
        <v>2211</v>
      </c>
      <c r="B216" s="7">
        <v>13</v>
      </c>
      <c r="C216" s="8" t="s">
        <v>2291</v>
      </c>
      <c r="D216" s="8" t="s">
        <v>138</v>
      </c>
      <c r="E216" s="8" t="s">
        <v>1207</v>
      </c>
      <c r="F216" s="7"/>
    </row>
    <row r="217" spans="1:9" x14ac:dyDescent="0.25">
      <c r="A217" s="8" t="s">
        <v>2211</v>
      </c>
      <c r="B217" s="7">
        <v>14</v>
      </c>
      <c r="C217" s="8" t="s">
        <v>706</v>
      </c>
      <c r="D217" s="8" t="s">
        <v>139</v>
      </c>
      <c r="E217" s="8" t="s">
        <v>1208</v>
      </c>
      <c r="F217" s="7"/>
    </row>
    <row r="218" spans="1:9" x14ac:dyDescent="0.25">
      <c r="A218" s="8" t="s">
        <v>2211</v>
      </c>
      <c r="B218" s="7">
        <v>96</v>
      </c>
      <c r="C218" s="8" t="s">
        <v>78</v>
      </c>
      <c r="D218" s="8" t="s">
        <v>79</v>
      </c>
      <c r="E218" s="8" t="s">
        <v>1006</v>
      </c>
      <c r="F218" s="7"/>
    </row>
    <row r="219" spans="1:9" x14ac:dyDescent="0.25">
      <c r="A219" s="10"/>
      <c r="B219" s="9"/>
      <c r="C219" s="10"/>
      <c r="D219" s="10"/>
      <c r="E219" s="10"/>
      <c r="F219" s="9"/>
      <c r="G219" s="10"/>
      <c r="H219" s="10"/>
      <c r="I219" s="10"/>
    </row>
    <row r="220" spans="1:9" x14ac:dyDescent="0.25">
      <c r="A220" s="8" t="s">
        <v>2218</v>
      </c>
      <c r="B220" s="7">
        <v>1</v>
      </c>
      <c r="C220" s="8" t="s">
        <v>2219</v>
      </c>
      <c r="D220" s="8" t="s">
        <v>2228</v>
      </c>
      <c r="E220" s="8" t="s">
        <v>2237</v>
      </c>
      <c r="F220" s="7"/>
    </row>
    <row r="221" spans="1:9" x14ac:dyDescent="0.25">
      <c r="A221" s="8" t="s">
        <v>2218</v>
      </c>
      <c r="B221" s="7">
        <v>2</v>
      </c>
      <c r="C221" s="8" t="s">
        <v>2220</v>
      </c>
      <c r="D221" s="8" t="s">
        <v>2229</v>
      </c>
      <c r="E221" s="8" t="s">
        <v>2238</v>
      </c>
      <c r="F221" s="7"/>
    </row>
    <row r="222" spans="1:9" x14ac:dyDescent="0.25">
      <c r="A222" s="8" t="s">
        <v>2218</v>
      </c>
      <c r="B222" s="7">
        <v>3</v>
      </c>
      <c r="C222" s="8" t="s">
        <v>2221</v>
      </c>
      <c r="D222" s="8" t="s">
        <v>2230</v>
      </c>
      <c r="E222" s="8" t="s">
        <v>2239</v>
      </c>
      <c r="F222" s="7"/>
    </row>
    <row r="223" spans="1:9" x14ac:dyDescent="0.25">
      <c r="A223" s="8" t="s">
        <v>2218</v>
      </c>
      <c r="B223" s="7">
        <v>4</v>
      </c>
      <c r="C223" s="8" t="s">
        <v>2222</v>
      </c>
      <c r="D223" s="8" t="s">
        <v>2231</v>
      </c>
      <c r="E223" s="8" t="s">
        <v>2240</v>
      </c>
      <c r="F223" s="7"/>
    </row>
    <row r="224" spans="1:9" x14ac:dyDescent="0.25">
      <c r="A224" s="8" t="s">
        <v>2218</v>
      </c>
      <c r="B224" s="7">
        <v>5</v>
      </c>
      <c r="C224" s="8" t="s">
        <v>2223</v>
      </c>
      <c r="D224" s="8" t="s">
        <v>2232</v>
      </c>
      <c r="E224" s="8" t="s">
        <v>2241</v>
      </c>
      <c r="F224" s="7"/>
    </row>
    <row r="225" spans="1:9" x14ac:dyDescent="0.25">
      <c r="A225" s="8" t="s">
        <v>2218</v>
      </c>
      <c r="B225" s="11">
        <v>6</v>
      </c>
      <c r="C225" s="12" t="s">
        <v>2224</v>
      </c>
      <c r="D225" s="12" t="s">
        <v>2233</v>
      </c>
      <c r="E225" s="12" t="s">
        <v>2242</v>
      </c>
      <c r="F225" s="11"/>
      <c r="G225" s="12"/>
      <c r="H225" s="12"/>
    </row>
    <row r="226" spans="1:9" x14ac:dyDescent="0.25">
      <c r="A226" s="8" t="s">
        <v>2218</v>
      </c>
      <c r="B226" s="7">
        <v>7</v>
      </c>
      <c r="C226" s="8" t="s">
        <v>2225</v>
      </c>
      <c r="D226" s="8" t="s">
        <v>2234</v>
      </c>
      <c r="E226" s="8" t="s">
        <v>2243</v>
      </c>
      <c r="F226" s="7"/>
    </row>
    <row r="227" spans="1:9" x14ac:dyDescent="0.25">
      <c r="A227" s="8" t="s">
        <v>2218</v>
      </c>
      <c r="B227" s="7">
        <v>8</v>
      </c>
      <c r="C227" s="8" t="s">
        <v>2226</v>
      </c>
      <c r="D227" s="8" t="s">
        <v>2235</v>
      </c>
      <c r="E227" s="8" t="s">
        <v>2244</v>
      </c>
      <c r="F227" s="7"/>
    </row>
    <row r="228" spans="1:9" x14ac:dyDescent="0.25">
      <c r="A228" s="8" t="s">
        <v>2218</v>
      </c>
      <c r="B228" s="7">
        <v>9</v>
      </c>
      <c r="C228" s="8" t="s">
        <v>2227</v>
      </c>
      <c r="D228" s="8" t="s">
        <v>2236</v>
      </c>
      <c r="E228" s="8" t="s">
        <v>2245</v>
      </c>
      <c r="F228" s="7"/>
    </row>
    <row r="229" spans="1:9" x14ac:dyDescent="0.25">
      <c r="A229" s="10"/>
      <c r="B229" s="9"/>
      <c r="C229" s="10"/>
      <c r="D229" s="10"/>
      <c r="E229" s="10"/>
      <c r="F229" s="9"/>
      <c r="G229" s="10"/>
      <c r="H229" s="10"/>
      <c r="I229" s="10"/>
    </row>
    <row r="230" spans="1:9" x14ac:dyDescent="0.25">
      <c r="A230" s="7" t="s">
        <v>2296</v>
      </c>
      <c r="B230" s="7">
        <v>1</v>
      </c>
      <c r="C230" s="7" t="s">
        <v>2297</v>
      </c>
      <c r="D230" s="8" t="s">
        <v>2302</v>
      </c>
      <c r="E230" s="8" t="s">
        <v>1209</v>
      </c>
    </row>
    <row r="231" spans="1:9" x14ac:dyDescent="0.25">
      <c r="A231" s="7" t="s">
        <v>2296</v>
      </c>
      <c r="B231" s="7">
        <v>2</v>
      </c>
      <c r="C231" s="7" t="s">
        <v>2298</v>
      </c>
      <c r="D231" s="8" t="s">
        <v>2303</v>
      </c>
      <c r="E231" s="8" t="s">
        <v>1210</v>
      </c>
    </row>
    <row r="232" spans="1:9" x14ac:dyDescent="0.25">
      <c r="A232" s="7" t="s">
        <v>2296</v>
      </c>
      <c r="B232" s="7">
        <v>3</v>
      </c>
      <c r="C232" s="7" t="s">
        <v>2299</v>
      </c>
      <c r="D232" s="8" t="s">
        <v>2304</v>
      </c>
      <c r="E232" s="8" t="s">
        <v>1211</v>
      </c>
    </row>
    <row r="233" spans="1:9" x14ac:dyDescent="0.25">
      <c r="A233" s="7" t="s">
        <v>2296</v>
      </c>
      <c r="B233" s="7">
        <v>4</v>
      </c>
      <c r="C233" s="7" t="s">
        <v>2300</v>
      </c>
      <c r="D233" s="8" t="s">
        <v>2305</v>
      </c>
      <c r="E233" s="8" t="s">
        <v>1212</v>
      </c>
    </row>
    <row r="234" spans="1:9" x14ac:dyDescent="0.25">
      <c r="A234" s="7" t="s">
        <v>2296</v>
      </c>
      <c r="B234" s="7">
        <v>5</v>
      </c>
      <c r="C234" s="7" t="s">
        <v>2301</v>
      </c>
      <c r="D234" s="8" t="s">
        <v>2306</v>
      </c>
      <c r="E234" s="8" t="s">
        <v>1213</v>
      </c>
    </row>
    <row r="235" spans="1:9" x14ac:dyDescent="0.25">
      <c r="A235" s="7" t="s">
        <v>2296</v>
      </c>
      <c r="B235" s="7">
        <v>96</v>
      </c>
      <c r="C235" s="7" t="s">
        <v>78</v>
      </c>
      <c r="D235" s="8" t="s">
        <v>2008</v>
      </c>
      <c r="E235" s="8" t="s">
        <v>1150</v>
      </c>
    </row>
    <row r="236" spans="1:9" x14ac:dyDescent="0.25">
      <c r="A236" s="10"/>
      <c r="B236" s="10"/>
      <c r="C236" s="10"/>
      <c r="D236" s="10"/>
      <c r="E236" s="10"/>
      <c r="F236" s="10"/>
      <c r="G236" s="10"/>
      <c r="H236" s="10"/>
      <c r="I236" s="10"/>
    </row>
    <row r="237" spans="1:9" x14ac:dyDescent="0.25">
      <c r="A237" s="7" t="s">
        <v>2311</v>
      </c>
      <c r="B237" s="7">
        <v>1</v>
      </c>
      <c r="C237" s="7" t="s">
        <v>2312</v>
      </c>
      <c r="D237" s="7" t="s">
        <v>1214</v>
      </c>
      <c r="E237" s="7" t="s">
        <v>1214</v>
      </c>
    </row>
    <row r="238" spans="1:9" x14ac:dyDescent="0.25">
      <c r="A238" s="7" t="s">
        <v>2311</v>
      </c>
      <c r="B238" s="7">
        <v>2</v>
      </c>
      <c r="C238" s="7" t="s">
        <v>2313</v>
      </c>
      <c r="D238" s="7" t="s">
        <v>1215</v>
      </c>
      <c r="E238" s="7" t="s">
        <v>1215</v>
      </c>
    </row>
    <row r="239" spans="1:9" x14ac:dyDescent="0.25">
      <c r="A239" s="7" t="s">
        <v>2311</v>
      </c>
      <c r="B239" s="7">
        <v>3</v>
      </c>
      <c r="C239" s="7" t="s">
        <v>2314</v>
      </c>
      <c r="D239" s="7" t="s">
        <v>1216</v>
      </c>
      <c r="E239" s="7" t="s">
        <v>1216</v>
      </c>
    </row>
    <row r="240" spans="1:9" x14ac:dyDescent="0.25">
      <c r="A240" s="7" t="s">
        <v>2311</v>
      </c>
      <c r="B240" s="7">
        <v>4</v>
      </c>
      <c r="C240" s="7" t="s">
        <v>2315</v>
      </c>
      <c r="D240" s="7" t="s">
        <v>1217</v>
      </c>
      <c r="E240" s="7" t="s">
        <v>1217</v>
      </c>
    </row>
    <row r="241" spans="1:9" x14ac:dyDescent="0.25">
      <c r="A241" s="7" t="s">
        <v>2311</v>
      </c>
      <c r="B241" s="7">
        <v>5</v>
      </c>
      <c r="C241" s="7" t="s">
        <v>2316</v>
      </c>
      <c r="D241" s="7" t="s">
        <v>1218</v>
      </c>
      <c r="E241" s="7" t="s">
        <v>1218</v>
      </c>
    </row>
    <row r="242" spans="1:9" x14ac:dyDescent="0.25">
      <c r="A242" s="7" t="s">
        <v>2311</v>
      </c>
      <c r="B242" s="7">
        <v>96</v>
      </c>
      <c r="C242" s="7" t="s">
        <v>140</v>
      </c>
      <c r="D242" s="7" t="s">
        <v>2317</v>
      </c>
      <c r="E242" s="7" t="s">
        <v>1219</v>
      </c>
    </row>
    <row r="243" spans="1:9" x14ac:dyDescent="0.25">
      <c r="A243" s="10"/>
      <c r="B243" s="10"/>
      <c r="C243" s="10"/>
      <c r="D243" s="10"/>
      <c r="E243" s="10"/>
      <c r="F243" s="10"/>
      <c r="G243" s="10"/>
      <c r="H243" s="10"/>
      <c r="I243" s="10"/>
    </row>
    <row r="244" spans="1:9" x14ac:dyDescent="0.25">
      <c r="A244" s="8" t="s">
        <v>2324</v>
      </c>
      <c r="B244" s="8">
        <v>1</v>
      </c>
      <c r="C244" s="8" t="s">
        <v>1220</v>
      </c>
      <c r="D244" s="20" t="s">
        <v>1226</v>
      </c>
      <c r="E244" s="7" t="s">
        <v>1232</v>
      </c>
    </row>
    <row r="245" spans="1:9" x14ac:dyDescent="0.25">
      <c r="A245" s="8" t="s">
        <v>2324</v>
      </c>
      <c r="B245" s="8">
        <v>2</v>
      </c>
      <c r="C245" s="8" t="s">
        <v>1221</v>
      </c>
      <c r="D245" s="20" t="s">
        <v>1227</v>
      </c>
      <c r="E245" s="7" t="s">
        <v>1233</v>
      </c>
    </row>
    <row r="246" spans="1:9" x14ac:dyDescent="0.25">
      <c r="A246" s="8" t="s">
        <v>2324</v>
      </c>
      <c r="B246" s="8">
        <v>3</v>
      </c>
      <c r="C246" s="8" t="s">
        <v>1222</v>
      </c>
      <c r="D246" s="20" t="s">
        <v>1228</v>
      </c>
      <c r="E246" s="7" t="s">
        <v>1234</v>
      </c>
    </row>
    <row r="247" spans="1:9" x14ac:dyDescent="0.25">
      <c r="A247" s="8" t="s">
        <v>2324</v>
      </c>
      <c r="B247" s="8">
        <v>4</v>
      </c>
      <c r="C247" s="8" t="s">
        <v>1223</v>
      </c>
      <c r="D247" s="7" t="s">
        <v>1229</v>
      </c>
      <c r="E247" s="7" t="s">
        <v>1235</v>
      </c>
    </row>
    <row r="248" spans="1:9" x14ac:dyDescent="0.25">
      <c r="A248" s="8" t="s">
        <v>2324</v>
      </c>
      <c r="B248" s="8">
        <v>5</v>
      </c>
      <c r="C248" s="8" t="s">
        <v>1224</v>
      </c>
      <c r="D248" s="7" t="s">
        <v>1230</v>
      </c>
      <c r="E248" s="7" t="s">
        <v>1236</v>
      </c>
    </row>
    <row r="249" spans="1:9" x14ac:dyDescent="0.25">
      <c r="A249" s="8" t="s">
        <v>2324</v>
      </c>
      <c r="B249" s="8">
        <v>6</v>
      </c>
      <c r="C249" s="8" t="s">
        <v>1225</v>
      </c>
      <c r="D249" s="7" t="s">
        <v>1231</v>
      </c>
      <c r="E249" s="7" t="s">
        <v>1237</v>
      </c>
    </row>
    <row r="250" spans="1:9" x14ac:dyDescent="0.25">
      <c r="A250" s="10"/>
      <c r="B250" s="10"/>
      <c r="C250" s="10"/>
      <c r="D250" s="9"/>
      <c r="E250" s="9"/>
      <c r="F250" s="10"/>
      <c r="G250" s="10"/>
      <c r="H250" s="10"/>
      <c r="I250" s="10"/>
    </row>
    <row r="251" spans="1:9" x14ac:dyDescent="0.25">
      <c r="A251" s="8" t="s">
        <v>2329</v>
      </c>
      <c r="B251" s="8">
        <v>1</v>
      </c>
      <c r="C251" s="7" t="s">
        <v>2330</v>
      </c>
      <c r="D251" s="7" t="s">
        <v>2340</v>
      </c>
      <c r="E251" s="7" t="s">
        <v>1238</v>
      </c>
    </row>
    <row r="252" spans="1:9" x14ac:dyDescent="0.25">
      <c r="A252" s="8" t="s">
        <v>2329</v>
      </c>
      <c r="B252" s="8">
        <v>2</v>
      </c>
      <c r="C252" s="7" t="s">
        <v>2331</v>
      </c>
      <c r="D252" s="7" t="s">
        <v>2341</v>
      </c>
      <c r="E252" s="7" t="s">
        <v>1239</v>
      </c>
    </row>
    <row r="253" spans="1:9" x14ac:dyDescent="0.25">
      <c r="A253" s="8" t="s">
        <v>2329</v>
      </c>
      <c r="B253" s="8">
        <v>3</v>
      </c>
      <c r="C253" s="7" t="s">
        <v>2332</v>
      </c>
      <c r="D253" s="20" t="s">
        <v>2342</v>
      </c>
      <c r="E253" s="7" t="s">
        <v>1240</v>
      </c>
    </row>
    <row r="254" spans="1:9" x14ac:dyDescent="0.25">
      <c r="A254" s="8" t="s">
        <v>2329</v>
      </c>
      <c r="B254" s="8">
        <v>4</v>
      </c>
      <c r="C254" s="7" t="s">
        <v>2333</v>
      </c>
      <c r="D254" s="20" t="s">
        <v>2343</v>
      </c>
      <c r="E254" s="7" t="s">
        <v>1241</v>
      </c>
    </row>
    <row r="255" spans="1:9" x14ac:dyDescent="0.25">
      <c r="A255" s="8" t="s">
        <v>2329</v>
      </c>
      <c r="B255" s="8">
        <v>5</v>
      </c>
      <c r="C255" s="7" t="s">
        <v>2334</v>
      </c>
      <c r="D255" s="20" t="s">
        <v>2344</v>
      </c>
      <c r="E255" s="7" t="s">
        <v>1242</v>
      </c>
    </row>
    <row r="256" spans="1:9" x14ac:dyDescent="0.25">
      <c r="A256" s="8" t="s">
        <v>2329</v>
      </c>
      <c r="B256" s="8">
        <v>6</v>
      </c>
      <c r="C256" s="7" t="s">
        <v>2335</v>
      </c>
      <c r="D256" s="20" t="s">
        <v>2345</v>
      </c>
      <c r="E256" s="7" t="s">
        <v>1243</v>
      </c>
    </row>
    <row r="257" spans="1:9" x14ac:dyDescent="0.25">
      <c r="A257" s="8" t="s">
        <v>2329</v>
      </c>
      <c r="B257" s="8">
        <v>7</v>
      </c>
      <c r="C257" s="7" t="s">
        <v>2336</v>
      </c>
      <c r="D257" s="20" t="s">
        <v>2346</v>
      </c>
      <c r="E257" s="7" t="s">
        <v>1244</v>
      </c>
    </row>
    <row r="258" spans="1:9" x14ac:dyDescent="0.25">
      <c r="A258" s="8" t="s">
        <v>2329</v>
      </c>
      <c r="B258" s="8">
        <v>8</v>
      </c>
      <c r="C258" s="7" t="s">
        <v>2337</v>
      </c>
      <c r="D258" s="20" t="s">
        <v>2347</v>
      </c>
      <c r="E258" s="7" t="s">
        <v>1245</v>
      </c>
    </row>
    <row r="259" spans="1:9" x14ac:dyDescent="0.25">
      <c r="A259" s="8" t="s">
        <v>2329</v>
      </c>
      <c r="B259" s="8">
        <v>9</v>
      </c>
      <c r="C259" s="7" t="s">
        <v>2338</v>
      </c>
      <c r="D259" s="7" t="s">
        <v>2271</v>
      </c>
      <c r="E259" s="7" t="s">
        <v>1246</v>
      </c>
    </row>
    <row r="260" spans="1:9" x14ac:dyDescent="0.25">
      <c r="A260" s="8" t="s">
        <v>2329</v>
      </c>
      <c r="B260" s="8">
        <v>10</v>
      </c>
      <c r="C260" s="7" t="s">
        <v>2339</v>
      </c>
      <c r="D260" s="7" t="s">
        <v>2348</v>
      </c>
      <c r="E260" s="7" t="s">
        <v>1247</v>
      </c>
    </row>
    <row r="261" spans="1:9" x14ac:dyDescent="0.25">
      <c r="A261" s="8" t="s">
        <v>2329</v>
      </c>
      <c r="B261" s="8">
        <v>11</v>
      </c>
      <c r="C261" s="8" t="s">
        <v>1250</v>
      </c>
      <c r="D261" s="8" t="s">
        <v>1249</v>
      </c>
      <c r="E261" s="8" t="s">
        <v>1248</v>
      </c>
    </row>
    <row r="262" spans="1:9" x14ac:dyDescent="0.25">
      <c r="A262" s="8" t="s">
        <v>2329</v>
      </c>
      <c r="B262" s="8">
        <v>96</v>
      </c>
      <c r="C262" s="8" t="s">
        <v>140</v>
      </c>
      <c r="D262" s="8" t="s">
        <v>2349</v>
      </c>
      <c r="E262" s="8" t="s">
        <v>1158</v>
      </c>
    </row>
    <row r="263" spans="1:9" x14ac:dyDescent="0.25">
      <c r="A263" s="10"/>
      <c r="B263" s="10"/>
      <c r="C263" s="10"/>
      <c r="D263" s="10"/>
      <c r="E263" s="10"/>
      <c r="F263" s="10"/>
      <c r="G263" s="10"/>
      <c r="H263" s="10"/>
      <c r="I263" s="10"/>
    </row>
    <row r="264" spans="1:9" x14ac:dyDescent="0.25">
      <c r="A264" s="8" t="s">
        <v>2364</v>
      </c>
      <c r="B264" s="7">
        <v>1</v>
      </c>
      <c r="C264" s="8" t="s">
        <v>2365</v>
      </c>
      <c r="D264" s="21" t="s">
        <v>2371</v>
      </c>
      <c r="E264" s="21" t="s">
        <v>1269</v>
      </c>
      <c r="F264" s="7"/>
    </row>
    <row r="265" spans="1:9" x14ac:dyDescent="0.25">
      <c r="A265" s="8" t="s">
        <v>2364</v>
      </c>
      <c r="B265" s="7">
        <v>2</v>
      </c>
      <c r="C265" s="8" t="s">
        <v>2366</v>
      </c>
      <c r="D265" s="21" t="s">
        <v>2372</v>
      </c>
      <c r="E265" s="21" t="s">
        <v>1270</v>
      </c>
      <c r="F265" s="7"/>
    </row>
    <row r="266" spans="1:9" x14ac:dyDescent="0.25">
      <c r="A266" s="8" t="s">
        <v>2364</v>
      </c>
      <c r="B266" s="7">
        <v>3</v>
      </c>
      <c r="C266" s="8" t="s">
        <v>2367</v>
      </c>
      <c r="D266" s="21" t="s">
        <v>2373</v>
      </c>
      <c r="E266" s="21" t="s">
        <v>1271</v>
      </c>
    </row>
    <row r="267" spans="1:9" x14ac:dyDescent="0.25">
      <c r="A267" s="8" t="s">
        <v>2364</v>
      </c>
      <c r="B267" s="7">
        <v>4</v>
      </c>
      <c r="C267" s="8" t="s">
        <v>2368</v>
      </c>
      <c r="D267" s="21" t="s">
        <v>2374</v>
      </c>
      <c r="E267" s="21" t="s">
        <v>2376</v>
      </c>
    </row>
    <row r="268" spans="1:9" x14ac:dyDescent="0.25">
      <c r="A268" s="8" t="s">
        <v>2364</v>
      </c>
      <c r="B268" s="7">
        <v>5</v>
      </c>
      <c r="C268" s="8" t="s">
        <v>2369</v>
      </c>
      <c r="D268" s="8" t="s">
        <v>2375</v>
      </c>
      <c r="E268" s="8" t="s">
        <v>2377</v>
      </c>
      <c r="F268" s="7"/>
    </row>
    <row r="269" spans="1:9" x14ac:dyDescent="0.25">
      <c r="A269" s="8" t="s">
        <v>2364</v>
      </c>
      <c r="B269" s="7">
        <v>96</v>
      </c>
      <c r="C269" s="8" t="s">
        <v>2370</v>
      </c>
      <c r="D269" s="8" t="s">
        <v>2317</v>
      </c>
      <c r="E269" s="8" t="s">
        <v>1219</v>
      </c>
      <c r="F269" s="7"/>
    </row>
    <row r="270" spans="1:9" x14ac:dyDescent="0.25">
      <c r="A270" s="10"/>
      <c r="B270" s="9"/>
      <c r="C270" s="10"/>
      <c r="D270" s="10"/>
      <c r="E270" s="10"/>
      <c r="F270" s="9"/>
      <c r="G270" s="10"/>
      <c r="H270" s="10"/>
      <c r="I270" s="10"/>
    </row>
    <row r="271" spans="1:9" x14ac:dyDescent="0.25">
      <c r="A271" s="8" t="s">
        <v>2380</v>
      </c>
      <c r="B271" s="7">
        <v>1</v>
      </c>
      <c r="C271" s="8" t="s">
        <v>707</v>
      </c>
      <c r="D271" s="8" t="s">
        <v>262</v>
      </c>
      <c r="E271" s="7" t="s">
        <v>1272</v>
      </c>
      <c r="F271" s="7"/>
    </row>
    <row r="272" spans="1:9" x14ac:dyDescent="0.25">
      <c r="A272" s="8" t="s">
        <v>2380</v>
      </c>
      <c r="B272" s="7">
        <v>2</v>
      </c>
      <c r="C272" s="8" t="s">
        <v>708</v>
      </c>
      <c r="D272" s="8" t="s">
        <v>263</v>
      </c>
      <c r="E272" s="7" t="s">
        <v>1273</v>
      </c>
      <c r="F272" s="7"/>
    </row>
    <row r="273" spans="1:9" x14ac:dyDescent="0.25">
      <c r="A273" s="10"/>
      <c r="B273" s="9"/>
      <c r="C273" s="10"/>
      <c r="D273" s="10"/>
      <c r="E273" s="9"/>
      <c r="F273" s="9"/>
      <c r="G273" s="10"/>
      <c r="H273" s="10"/>
      <c r="I273" s="10"/>
    </row>
    <row r="274" spans="1:9" x14ac:dyDescent="0.25">
      <c r="A274" s="8" t="s">
        <v>2382</v>
      </c>
      <c r="B274" s="7">
        <v>1</v>
      </c>
      <c r="C274" s="22" t="s">
        <v>2383</v>
      </c>
      <c r="D274" s="22" t="s">
        <v>2392</v>
      </c>
      <c r="E274" s="22" t="s">
        <v>264</v>
      </c>
      <c r="F274" s="7"/>
    </row>
    <row r="275" spans="1:9" x14ac:dyDescent="0.25">
      <c r="A275" s="8" t="s">
        <v>2382</v>
      </c>
      <c r="B275" s="7">
        <v>2</v>
      </c>
      <c r="C275" s="22" t="s">
        <v>2384</v>
      </c>
      <c r="D275" s="22" t="s">
        <v>2393</v>
      </c>
      <c r="E275" s="22" t="s">
        <v>1274</v>
      </c>
      <c r="F275" s="7"/>
    </row>
    <row r="276" spans="1:9" x14ac:dyDescent="0.25">
      <c r="A276" s="8" t="s">
        <v>2382</v>
      </c>
      <c r="B276" s="7">
        <v>3</v>
      </c>
      <c r="C276" s="22" t="s">
        <v>2385</v>
      </c>
      <c r="D276" s="22" t="s">
        <v>2394</v>
      </c>
      <c r="E276" s="22" t="s">
        <v>1275</v>
      </c>
      <c r="F276" s="7"/>
    </row>
    <row r="277" spans="1:9" x14ac:dyDescent="0.25">
      <c r="A277" s="8" t="s">
        <v>2382</v>
      </c>
      <c r="B277" s="7">
        <v>4</v>
      </c>
      <c r="C277" s="22" t="s">
        <v>2386</v>
      </c>
      <c r="D277" s="22" t="s">
        <v>1276</v>
      </c>
      <c r="E277" s="22" t="s">
        <v>1276</v>
      </c>
      <c r="F277" s="7"/>
    </row>
    <row r="278" spans="1:9" x14ac:dyDescent="0.25">
      <c r="A278" s="8" t="s">
        <v>2382</v>
      </c>
      <c r="B278" s="7">
        <v>5</v>
      </c>
      <c r="C278" s="22" t="s">
        <v>2387</v>
      </c>
      <c r="D278" s="22" t="s">
        <v>2395</v>
      </c>
      <c r="E278" s="22" t="s">
        <v>1277</v>
      </c>
      <c r="F278" s="7"/>
    </row>
    <row r="279" spans="1:9" x14ac:dyDescent="0.25">
      <c r="A279" s="8" t="s">
        <v>2382</v>
      </c>
      <c r="B279" s="8">
        <v>6</v>
      </c>
      <c r="C279" s="22" t="s">
        <v>2388</v>
      </c>
      <c r="D279" s="22" t="s">
        <v>2396</v>
      </c>
      <c r="E279" s="22" t="s">
        <v>1278</v>
      </c>
      <c r="F279" s="7"/>
    </row>
    <row r="280" spans="1:9" x14ac:dyDescent="0.25">
      <c r="A280" s="8" t="s">
        <v>2382</v>
      </c>
      <c r="B280" s="8">
        <v>7</v>
      </c>
      <c r="C280" s="22" t="s">
        <v>322</v>
      </c>
      <c r="D280" s="22" t="s">
        <v>2397</v>
      </c>
      <c r="E280" s="22" t="s">
        <v>1279</v>
      </c>
      <c r="F280" s="7"/>
    </row>
    <row r="281" spans="1:9" x14ac:dyDescent="0.25">
      <c r="A281" s="8" t="s">
        <v>2382</v>
      </c>
      <c r="B281" s="8">
        <v>8</v>
      </c>
      <c r="C281" s="22" t="s">
        <v>2389</v>
      </c>
      <c r="D281" s="22" t="s">
        <v>2398</v>
      </c>
      <c r="E281" s="22" t="s">
        <v>1280</v>
      </c>
      <c r="F281" s="7"/>
    </row>
    <row r="282" spans="1:9" x14ac:dyDescent="0.25">
      <c r="A282" s="8" t="s">
        <v>2382</v>
      </c>
      <c r="B282" s="8">
        <v>9</v>
      </c>
      <c r="C282" s="22" t="s">
        <v>2390</v>
      </c>
      <c r="D282" s="22" t="s">
        <v>2399</v>
      </c>
      <c r="E282" s="22" t="s">
        <v>1281</v>
      </c>
      <c r="F282" s="7"/>
    </row>
    <row r="283" spans="1:9" x14ac:dyDescent="0.25">
      <c r="A283" s="8" t="s">
        <v>2382</v>
      </c>
      <c r="B283" s="8">
        <v>10</v>
      </c>
      <c r="C283" s="22" t="s">
        <v>2391</v>
      </c>
      <c r="D283" s="22" t="s">
        <v>2400</v>
      </c>
      <c r="E283" s="22" t="s">
        <v>3297</v>
      </c>
      <c r="F283" s="7"/>
    </row>
    <row r="284" spans="1:9" x14ac:dyDescent="0.25">
      <c r="A284" s="10"/>
      <c r="B284" s="10"/>
      <c r="C284" s="23"/>
      <c r="D284" s="23"/>
      <c r="E284" s="23"/>
      <c r="F284" s="9"/>
      <c r="G284" s="10"/>
      <c r="H284" s="10"/>
      <c r="I284" s="10"/>
    </row>
    <row r="285" spans="1:9" x14ac:dyDescent="0.25">
      <c r="A285" s="8" t="s">
        <v>2410</v>
      </c>
      <c r="B285" s="8">
        <v>1</v>
      </c>
      <c r="C285" s="22" t="s">
        <v>2411</v>
      </c>
      <c r="D285" s="22" t="s">
        <v>2414</v>
      </c>
      <c r="E285" s="22" t="s">
        <v>1282</v>
      </c>
      <c r="F285" s="7"/>
    </row>
    <row r="286" spans="1:9" x14ac:dyDescent="0.25">
      <c r="A286" s="8" t="s">
        <v>2410</v>
      </c>
      <c r="B286" s="8">
        <v>2</v>
      </c>
      <c r="C286" s="22" t="s">
        <v>2412</v>
      </c>
      <c r="D286" s="22" t="s">
        <v>2415</v>
      </c>
      <c r="E286" s="22" t="s">
        <v>1283</v>
      </c>
      <c r="F286" s="7"/>
    </row>
    <row r="287" spans="1:9" x14ac:dyDescent="0.25">
      <c r="A287" s="8" t="s">
        <v>2410</v>
      </c>
      <c r="B287" s="8">
        <v>3</v>
      </c>
      <c r="C287" s="22" t="s">
        <v>2413</v>
      </c>
      <c r="D287" s="22" t="s">
        <v>2416</v>
      </c>
      <c r="E287" s="22" t="s">
        <v>1284</v>
      </c>
      <c r="F287" s="7"/>
    </row>
    <row r="288" spans="1:9" x14ac:dyDescent="0.25">
      <c r="A288" s="10"/>
      <c r="B288" s="10"/>
      <c r="C288" s="23"/>
      <c r="D288" s="23"/>
      <c r="E288" s="23"/>
      <c r="F288" s="9"/>
      <c r="G288" s="10"/>
      <c r="H288" s="10"/>
      <c r="I288" s="10"/>
    </row>
    <row r="289" spans="1:9" x14ac:dyDescent="0.25">
      <c r="A289" s="8" t="s">
        <v>2423</v>
      </c>
      <c r="B289" s="7">
        <v>1</v>
      </c>
      <c r="C289" s="8" t="s">
        <v>709</v>
      </c>
      <c r="D289" s="8" t="s">
        <v>141</v>
      </c>
      <c r="E289" s="7" t="s">
        <v>1331</v>
      </c>
    </row>
    <row r="290" spans="1:9" x14ac:dyDescent="0.25">
      <c r="A290" s="8" t="s">
        <v>2423</v>
      </c>
      <c r="B290" s="7">
        <v>2</v>
      </c>
      <c r="C290" s="8" t="s">
        <v>142</v>
      </c>
      <c r="D290" s="8" t="s">
        <v>143</v>
      </c>
      <c r="E290" s="7" t="s">
        <v>1332</v>
      </c>
      <c r="F290" s="7"/>
    </row>
    <row r="291" spans="1:9" x14ac:dyDescent="0.25">
      <c r="A291" s="8" t="s">
        <v>2423</v>
      </c>
      <c r="B291" s="7">
        <v>3</v>
      </c>
      <c r="C291" s="8" t="s">
        <v>144</v>
      </c>
      <c r="D291" s="8" t="s">
        <v>145</v>
      </c>
      <c r="E291" s="7" t="s">
        <v>1333</v>
      </c>
      <c r="F291" s="7"/>
    </row>
    <row r="292" spans="1:9" x14ac:dyDescent="0.25">
      <c r="A292" s="8" t="s">
        <v>2423</v>
      </c>
      <c r="B292" s="7">
        <v>4</v>
      </c>
      <c r="C292" s="8" t="s">
        <v>710</v>
      </c>
      <c r="D292" s="8" t="s">
        <v>146</v>
      </c>
      <c r="E292" s="7" t="s">
        <v>1334</v>
      </c>
      <c r="F292" s="7"/>
    </row>
    <row r="293" spans="1:9" x14ac:dyDescent="0.25">
      <c r="A293" s="10"/>
      <c r="B293" s="9"/>
      <c r="C293" s="10"/>
      <c r="D293" s="10"/>
      <c r="E293" s="10"/>
      <c r="F293" s="9"/>
      <c r="G293" s="10"/>
      <c r="H293" s="10"/>
      <c r="I293" s="10"/>
    </row>
    <row r="294" spans="1:9" x14ac:dyDescent="0.25">
      <c r="A294" s="7" t="s">
        <v>2459</v>
      </c>
      <c r="B294" s="7">
        <v>1</v>
      </c>
      <c r="C294" s="7" t="s">
        <v>709</v>
      </c>
      <c r="D294" s="7" t="s">
        <v>141</v>
      </c>
      <c r="E294" s="7" t="s">
        <v>1331</v>
      </c>
      <c r="F294" s="7"/>
    </row>
    <row r="295" spans="1:9" x14ac:dyDescent="0.25">
      <c r="A295" s="7" t="s">
        <v>2459</v>
      </c>
      <c r="B295" s="7">
        <v>2</v>
      </c>
      <c r="C295" s="7" t="s">
        <v>142</v>
      </c>
      <c r="D295" s="7" t="s">
        <v>143</v>
      </c>
      <c r="E295" s="7" t="s">
        <v>1332</v>
      </c>
      <c r="F295" s="7"/>
    </row>
    <row r="296" spans="1:9" x14ac:dyDescent="0.25">
      <c r="A296" s="7" t="s">
        <v>2459</v>
      </c>
      <c r="B296" s="7">
        <v>3</v>
      </c>
      <c r="C296" s="7" t="s">
        <v>144</v>
      </c>
      <c r="D296" s="7" t="s">
        <v>145</v>
      </c>
      <c r="E296" s="7" t="s">
        <v>1333</v>
      </c>
      <c r="F296" s="7"/>
    </row>
    <row r="297" spans="1:9" x14ac:dyDescent="0.25">
      <c r="A297" s="7" t="s">
        <v>2459</v>
      </c>
      <c r="B297" s="7">
        <v>4</v>
      </c>
      <c r="C297" s="7" t="s">
        <v>710</v>
      </c>
      <c r="D297" s="7" t="s">
        <v>146</v>
      </c>
      <c r="E297" s="7" t="s">
        <v>1334</v>
      </c>
      <c r="F297" s="7"/>
    </row>
    <row r="298" spans="1:9" x14ac:dyDescent="0.25">
      <c r="A298" s="7" t="s">
        <v>2459</v>
      </c>
      <c r="B298" s="7">
        <v>5</v>
      </c>
      <c r="C298" s="7" t="s">
        <v>424</v>
      </c>
      <c r="D298" s="7" t="s">
        <v>425</v>
      </c>
      <c r="E298" s="7" t="s">
        <v>2460</v>
      </c>
      <c r="F298" s="7"/>
    </row>
    <row r="299" spans="1:9" x14ac:dyDescent="0.25">
      <c r="A299" s="10"/>
      <c r="B299" s="9"/>
      <c r="C299" s="10"/>
      <c r="D299" s="10"/>
      <c r="E299" s="10"/>
      <c r="F299" s="9"/>
      <c r="G299" s="10"/>
      <c r="H299" s="10"/>
      <c r="I299" s="10"/>
    </row>
    <row r="300" spans="1:9" x14ac:dyDescent="0.25">
      <c r="A300" s="8" t="s">
        <v>2461</v>
      </c>
      <c r="B300" s="7">
        <v>1</v>
      </c>
      <c r="C300" s="8" t="s">
        <v>97</v>
      </c>
      <c r="D300" s="8" t="s">
        <v>547</v>
      </c>
      <c r="E300" s="7" t="s">
        <v>1335</v>
      </c>
      <c r="F300" s="7"/>
    </row>
    <row r="301" spans="1:9" x14ac:dyDescent="0.25">
      <c r="A301" s="8" t="s">
        <v>2461</v>
      </c>
      <c r="B301" s="7">
        <v>2</v>
      </c>
      <c r="C301" s="8" t="s">
        <v>99</v>
      </c>
      <c r="D301" s="7" t="s">
        <v>544</v>
      </c>
      <c r="E301" s="7" t="s">
        <v>1336</v>
      </c>
      <c r="F301" s="7"/>
    </row>
    <row r="302" spans="1:9" x14ac:dyDescent="0.25">
      <c r="A302" s="8" t="s">
        <v>2461</v>
      </c>
      <c r="B302" s="7">
        <v>3</v>
      </c>
      <c r="C302" s="8" t="s">
        <v>101</v>
      </c>
      <c r="D302" s="8" t="s">
        <v>545</v>
      </c>
      <c r="E302" s="7" t="s">
        <v>1337</v>
      </c>
      <c r="F302" s="7"/>
    </row>
    <row r="303" spans="1:9" x14ac:dyDescent="0.25">
      <c r="A303" s="8" t="s">
        <v>2461</v>
      </c>
      <c r="B303" s="7">
        <v>4</v>
      </c>
      <c r="C303" s="8" t="s">
        <v>699</v>
      </c>
      <c r="D303" s="8" t="s">
        <v>546</v>
      </c>
      <c r="E303" s="7" t="s">
        <v>1338</v>
      </c>
      <c r="F303" s="7"/>
    </row>
    <row r="304" spans="1:9" x14ac:dyDescent="0.25">
      <c r="A304" s="10"/>
      <c r="B304" s="9"/>
      <c r="C304" s="10"/>
      <c r="D304" s="10"/>
      <c r="E304" s="9"/>
      <c r="F304" s="9"/>
      <c r="G304" s="10"/>
      <c r="H304" s="10"/>
      <c r="I304" s="10"/>
    </row>
    <row r="305" spans="1:9" x14ac:dyDescent="0.25">
      <c r="A305" s="8" t="s">
        <v>2462</v>
      </c>
      <c r="B305" s="7">
        <v>1</v>
      </c>
      <c r="C305" s="8" t="s">
        <v>609</v>
      </c>
      <c r="D305" s="8" t="s">
        <v>615</v>
      </c>
      <c r="E305" s="8" t="s">
        <v>1339</v>
      </c>
      <c r="F305" s="7"/>
    </row>
    <row r="306" spans="1:9" x14ac:dyDescent="0.25">
      <c r="A306" s="8" t="s">
        <v>2462</v>
      </c>
      <c r="B306" s="7">
        <v>2</v>
      </c>
      <c r="C306" s="8" t="s">
        <v>610</v>
      </c>
      <c r="D306" s="8" t="s">
        <v>616</v>
      </c>
      <c r="E306" s="8" t="s">
        <v>1340</v>
      </c>
      <c r="F306" s="7"/>
    </row>
    <row r="307" spans="1:9" x14ac:dyDescent="0.25">
      <c r="A307" s="8" t="s">
        <v>2462</v>
      </c>
      <c r="B307" s="7">
        <v>3</v>
      </c>
      <c r="C307" s="8" t="s">
        <v>611</v>
      </c>
      <c r="D307" s="8" t="s">
        <v>617</v>
      </c>
      <c r="E307" s="8" t="s">
        <v>1341</v>
      </c>
      <c r="F307" s="7"/>
    </row>
    <row r="308" spans="1:9" x14ac:dyDescent="0.25">
      <c r="A308" s="10"/>
      <c r="B308" s="9"/>
      <c r="C308" s="10"/>
      <c r="D308" s="10"/>
      <c r="E308" s="10"/>
      <c r="F308" s="9"/>
      <c r="G308" s="10"/>
      <c r="H308" s="10"/>
      <c r="I308" s="10"/>
    </row>
    <row r="309" spans="1:9" x14ac:dyDescent="0.25">
      <c r="A309" s="8" t="s">
        <v>2463</v>
      </c>
      <c r="B309" s="7">
        <v>1</v>
      </c>
      <c r="C309" s="8" t="s">
        <v>612</v>
      </c>
      <c r="D309" s="8" t="s">
        <v>618</v>
      </c>
      <c r="E309" s="8" t="s">
        <v>1342</v>
      </c>
      <c r="F309" s="7"/>
    </row>
    <row r="310" spans="1:9" x14ac:dyDescent="0.25">
      <c r="A310" s="8" t="s">
        <v>2463</v>
      </c>
      <c r="B310" s="7">
        <v>2</v>
      </c>
      <c r="C310" s="8" t="s">
        <v>613</v>
      </c>
      <c r="D310" s="8" t="s">
        <v>619</v>
      </c>
      <c r="E310" s="8" t="s">
        <v>1343</v>
      </c>
      <c r="F310" s="7"/>
    </row>
    <row r="311" spans="1:9" x14ac:dyDescent="0.25">
      <c r="A311" s="8" t="s">
        <v>2463</v>
      </c>
      <c r="B311" s="7">
        <v>3</v>
      </c>
      <c r="C311" s="8" t="s">
        <v>614</v>
      </c>
      <c r="D311" s="8" t="s">
        <v>620</v>
      </c>
      <c r="E311" s="8" t="s">
        <v>1344</v>
      </c>
      <c r="F311" s="7"/>
    </row>
    <row r="312" spans="1:9" x14ac:dyDescent="0.25">
      <c r="A312" s="10"/>
      <c r="B312" s="9"/>
      <c r="C312" s="10"/>
      <c r="D312" s="10"/>
      <c r="E312" s="10"/>
      <c r="F312" s="9"/>
      <c r="G312" s="10"/>
      <c r="H312" s="10"/>
      <c r="I312" s="10"/>
    </row>
    <row r="313" spans="1:9" x14ac:dyDescent="0.25">
      <c r="A313" s="8" t="s">
        <v>2464</v>
      </c>
      <c r="B313" s="7">
        <v>1</v>
      </c>
      <c r="C313" s="8" t="s">
        <v>711</v>
      </c>
      <c r="D313" s="8" t="s">
        <v>2466</v>
      </c>
      <c r="E313" s="8" t="s">
        <v>1345</v>
      </c>
      <c r="F313" s="7"/>
    </row>
    <row r="314" spans="1:9" x14ac:dyDescent="0.25">
      <c r="A314" s="8" t="s">
        <v>2464</v>
      </c>
      <c r="B314" s="7">
        <v>2</v>
      </c>
      <c r="C314" s="8" t="s">
        <v>2465</v>
      </c>
      <c r="D314" s="8" t="s">
        <v>712</v>
      </c>
      <c r="E314" s="8" t="s">
        <v>2467</v>
      </c>
      <c r="F314" s="7"/>
    </row>
    <row r="315" spans="1:9" x14ac:dyDescent="0.25">
      <c r="A315" s="8" t="s">
        <v>2464</v>
      </c>
      <c r="B315" s="7">
        <v>3</v>
      </c>
      <c r="C315" s="8" t="s">
        <v>713</v>
      </c>
      <c r="D315" s="8" t="s">
        <v>714</v>
      </c>
      <c r="E315" s="8" t="s">
        <v>2468</v>
      </c>
      <c r="F315" s="7"/>
    </row>
    <row r="316" spans="1:9" x14ac:dyDescent="0.25">
      <c r="A316" s="8" t="s">
        <v>2464</v>
      </c>
      <c r="B316" s="7">
        <v>4</v>
      </c>
      <c r="C316" s="8" t="s">
        <v>715</v>
      </c>
      <c r="D316" s="8" t="s">
        <v>716</v>
      </c>
      <c r="E316" s="8" t="s">
        <v>2469</v>
      </c>
      <c r="F316" s="7"/>
    </row>
    <row r="317" spans="1:9" x14ac:dyDescent="0.25">
      <c r="A317" s="8" t="s">
        <v>2464</v>
      </c>
      <c r="B317" s="7">
        <v>5</v>
      </c>
      <c r="C317" s="8" t="s">
        <v>717</v>
      </c>
      <c r="D317" s="8" t="s">
        <v>718</v>
      </c>
      <c r="E317" s="8" t="s">
        <v>2470</v>
      </c>
      <c r="F317" s="7"/>
    </row>
    <row r="318" spans="1:9" x14ac:dyDescent="0.25">
      <c r="A318" s="10"/>
      <c r="B318" s="9"/>
      <c r="C318" s="10"/>
      <c r="D318" s="10"/>
      <c r="E318" s="10"/>
      <c r="F318" s="9"/>
      <c r="G318" s="10"/>
      <c r="H318" s="10"/>
      <c r="I318" s="10"/>
    </row>
    <row r="319" spans="1:9" x14ac:dyDescent="0.25">
      <c r="A319" s="8" t="s">
        <v>2471</v>
      </c>
      <c r="B319" s="7">
        <v>1</v>
      </c>
      <c r="C319" s="8" t="s">
        <v>2472</v>
      </c>
      <c r="D319" s="8" t="s">
        <v>2474</v>
      </c>
      <c r="E319" s="8" t="s">
        <v>1348</v>
      </c>
      <c r="F319" s="7"/>
    </row>
    <row r="320" spans="1:9" x14ac:dyDescent="0.25">
      <c r="A320" s="8" t="s">
        <v>2471</v>
      </c>
      <c r="B320" s="7">
        <v>2</v>
      </c>
      <c r="C320" s="8" t="s">
        <v>2465</v>
      </c>
      <c r="D320" s="8" t="s">
        <v>2475</v>
      </c>
      <c r="E320" s="8" t="s">
        <v>1346</v>
      </c>
      <c r="F320" s="7"/>
    </row>
    <row r="321" spans="1:9" x14ac:dyDescent="0.25">
      <c r="A321" s="8" t="s">
        <v>2471</v>
      </c>
      <c r="B321" s="7">
        <v>3</v>
      </c>
      <c r="C321" s="8" t="s">
        <v>719</v>
      </c>
      <c r="D321" s="8" t="s">
        <v>2476</v>
      </c>
      <c r="E321" s="8" t="s">
        <v>1349</v>
      </c>
      <c r="F321" s="7"/>
    </row>
    <row r="322" spans="1:9" x14ac:dyDescent="0.25">
      <c r="A322" s="8" t="s">
        <v>2471</v>
      </c>
      <c r="B322" s="7">
        <v>4</v>
      </c>
      <c r="C322" s="8" t="s">
        <v>2473</v>
      </c>
      <c r="D322" s="8" t="s">
        <v>2477</v>
      </c>
      <c r="E322" s="8" t="s">
        <v>1350</v>
      </c>
      <c r="F322" s="7"/>
    </row>
    <row r="323" spans="1:9" x14ac:dyDescent="0.25">
      <c r="A323" s="8" t="s">
        <v>2471</v>
      </c>
      <c r="B323" s="7">
        <v>5</v>
      </c>
      <c r="C323" s="8" t="s">
        <v>717</v>
      </c>
      <c r="D323" s="8" t="s">
        <v>2478</v>
      </c>
      <c r="E323" s="8" t="s">
        <v>1347</v>
      </c>
      <c r="F323" s="7"/>
    </row>
    <row r="324" spans="1:9" x14ac:dyDescent="0.25">
      <c r="A324" s="10"/>
      <c r="B324" s="9"/>
      <c r="C324" s="10"/>
      <c r="D324" s="10"/>
      <c r="E324" s="10"/>
      <c r="F324" s="9"/>
      <c r="G324" s="10"/>
      <c r="H324" s="10"/>
      <c r="I324" s="10"/>
    </row>
    <row r="325" spans="1:9" x14ac:dyDescent="0.25">
      <c r="A325" s="8" t="s">
        <v>2479</v>
      </c>
      <c r="B325" s="8">
        <v>1</v>
      </c>
      <c r="C325" s="8" t="s">
        <v>980</v>
      </c>
      <c r="D325" s="8" t="s">
        <v>986</v>
      </c>
      <c r="E325" s="8" t="s">
        <v>1351</v>
      </c>
    </row>
    <row r="326" spans="1:9" x14ac:dyDescent="0.25">
      <c r="A326" s="8" t="s">
        <v>2479</v>
      </c>
      <c r="B326" s="8">
        <v>2</v>
      </c>
      <c r="C326" s="8" t="s">
        <v>979</v>
      </c>
      <c r="D326" s="8" t="s">
        <v>987</v>
      </c>
      <c r="E326" s="8" t="s">
        <v>1352</v>
      </c>
    </row>
    <row r="327" spans="1:9" x14ac:dyDescent="0.25">
      <c r="A327" s="10"/>
      <c r="B327" s="10"/>
      <c r="C327" s="10"/>
      <c r="D327" s="10"/>
      <c r="E327" s="10"/>
      <c r="F327" s="10"/>
      <c r="G327" s="10"/>
      <c r="H327" s="10"/>
      <c r="I327" s="10"/>
    </row>
    <row r="328" spans="1:9" x14ac:dyDescent="0.25">
      <c r="A328" s="8" t="s">
        <v>2480</v>
      </c>
      <c r="B328" s="8">
        <v>1</v>
      </c>
      <c r="C328" s="8" t="s">
        <v>99</v>
      </c>
      <c r="D328" s="8" t="s">
        <v>544</v>
      </c>
      <c r="E328" s="8" t="s">
        <v>1336</v>
      </c>
    </row>
    <row r="329" spans="1:9" x14ac:dyDescent="0.25">
      <c r="A329" s="8" t="s">
        <v>2480</v>
      </c>
      <c r="B329" s="8">
        <v>2</v>
      </c>
      <c r="C329" s="8" t="s">
        <v>101</v>
      </c>
      <c r="D329" s="8" t="s">
        <v>545</v>
      </c>
      <c r="E329" s="8" t="s">
        <v>1337</v>
      </c>
    </row>
    <row r="330" spans="1:9" x14ac:dyDescent="0.25">
      <c r="A330" s="10"/>
      <c r="B330" s="10"/>
      <c r="C330" s="10"/>
      <c r="D330" s="10"/>
      <c r="E330" s="10"/>
      <c r="F330" s="10"/>
      <c r="G330" s="10"/>
      <c r="H330" s="10"/>
      <c r="I330" s="10"/>
    </row>
    <row r="331" spans="1:9" x14ac:dyDescent="0.25">
      <c r="A331" s="8" t="s">
        <v>2481</v>
      </c>
      <c r="B331" s="8">
        <v>1</v>
      </c>
      <c r="C331" s="8" t="s">
        <v>981</v>
      </c>
      <c r="D331" s="8" t="s">
        <v>988</v>
      </c>
      <c r="E331" s="8" t="s">
        <v>1353</v>
      </c>
    </row>
    <row r="332" spans="1:9" x14ac:dyDescent="0.25">
      <c r="A332" s="8" t="s">
        <v>2481</v>
      </c>
      <c r="B332" s="8">
        <v>2</v>
      </c>
      <c r="C332" s="8" t="s">
        <v>982</v>
      </c>
      <c r="D332" s="8" t="s">
        <v>989</v>
      </c>
      <c r="E332" s="8" t="s">
        <v>1354</v>
      </c>
    </row>
    <row r="333" spans="1:9" x14ac:dyDescent="0.25">
      <c r="A333" s="10"/>
      <c r="B333" s="10"/>
      <c r="C333" s="10"/>
      <c r="D333" s="10"/>
      <c r="E333" s="10"/>
      <c r="F333" s="10"/>
      <c r="G333" s="10"/>
      <c r="H333" s="10"/>
      <c r="I333" s="10"/>
    </row>
    <row r="334" spans="1:9" x14ac:dyDescent="0.25">
      <c r="A334" s="8" t="s">
        <v>2482</v>
      </c>
      <c r="B334" s="8">
        <v>1</v>
      </c>
      <c r="C334" s="8" t="s">
        <v>1355</v>
      </c>
      <c r="D334" s="8" t="s">
        <v>1357</v>
      </c>
      <c r="E334" s="8" t="s">
        <v>1359</v>
      </c>
    </row>
    <row r="335" spans="1:9" x14ac:dyDescent="0.25">
      <c r="A335" s="8" t="s">
        <v>2482</v>
      </c>
      <c r="B335" s="8">
        <v>2</v>
      </c>
      <c r="C335" s="8">
        <v>2</v>
      </c>
      <c r="D335" s="8">
        <v>2</v>
      </c>
      <c r="E335" s="8">
        <v>2</v>
      </c>
    </row>
    <row r="336" spans="1:9" x14ac:dyDescent="0.25">
      <c r="A336" s="8" t="s">
        <v>2482</v>
      </c>
      <c r="B336" s="8">
        <v>3</v>
      </c>
      <c r="C336" s="8">
        <v>3</v>
      </c>
      <c r="D336" s="8">
        <v>3</v>
      </c>
      <c r="E336" s="8">
        <v>3</v>
      </c>
    </row>
    <row r="337" spans="1:9" x14ac:dyDescent="0.25">
      <c r="A337" s="8" t="s">
        <v>2482</v>
      </c>
      <c r="B337" s="8">
        <v>4</v>
      </c>
      <c r="C337" s="8">
        <v>4</v>
      </c>
      <c r="D337" s="8">
        <v>4</v>
      </c>
      <c r="E337" s="8">
        <v>4</v>
      </c>
    </row>
    <row r="338" spans="1:9" x14ac:dyDescent="0.25">
      <c r="A338" s="8" t="s">
        <v>2482</v>
      </c>
      <c r="B338" s="8">
        <v>5</v>
      </c>
      <c r="C338" s="8" t="s">
        <v>1356</v>
      </c>
      <c r="D338" s="8" t="s">
        <v>1358</v>
      </c>
      <c r="E338" s="8" t="s">
        <v>1360</v>
      </c>
    </row>
    <row r="339" spans="1:9" x14ac:dyDescent="0.25">
      <c r="A339" s="10"/>
      <c r="B339" s="10"/>
      <c r="C339" s="10"/>
      <c r="D339" s="10"/>
      <c r="E339" s="10"/>
      <c r="F339" s="10"/>
      <c r="G339" s="10"/>
      <c r="H339" s="10"/>
      <c r="I339" s="10"/>
    </row>
    <row r="340" spans="1:9" x14ac:dyDescent="0.25">
      <c r="A340" s="8" t="s">
        <v>2483</v>
      </c>
      <c r="B340" s="8">
        <v>1</v>
      </c>
      <c r="C340" s="8" t="s">
        <v>1361</v>
      </c>
      <c r="D340" s="8" t="s">
        <v>1363</v>
      </c>
      <c r="E340" s="8" t="s">
        <v>1365</v>
      </c>
    </row>
    <row r="341" spans="1:9" x14ac:dyDescent="0.25">
      <c r="A341" s="8" t="s">
        <v>2483</v>
      </c>
      <c r="B341" s="8">
        <v>2</v>
      </c>
      <c r="C341" s="8">
        <v>2</v>
      </c>
      <c r="D341" s="8">
        <v>2</v>
      </c>
      <c r="E341" s="8">
        <v>2</v>
      </c>
    </row>
    <row r="342" spans="1:9" x14ac:dyDescent="0.25">
      <c r="A342" s="8" t="s">
        <v>2483</v>
      </c>
      <c r="B342" s="8">
        <v>3</v>
      </c>
      <c r="C342" s="8">
        <v>3</v>
      </c>
      <c r="D342" s="8">
        <v>3</v>
      </c>
      <c r="E342" s="8">
        <v>3</v>
      </c>
    </row>
    <row r="343" spans="1:9" x14ac:dyDescent="0.25">
      <c r="A343" s="8" t="s">
        <v>2483</v>
      </c>
      <c r="B343" s="8">
        <v>4</v>
      </c>
      <c r="C343" s="8">
        <v>4</v>
      </c>
      <c r="D343" s="8">
        <v>4</v>
      </c>
      <c r="E343" s="8">
        <v>4</v>
      </c>
    </row>
    <row r="344" spans="1:9" x14ac:dyDescent="0.25">
      <c r="A344" s="8" t="s">
        <v>2483</v>
      </c>
      <c r="B344" s="8">
        <v>5</v>
      </c>
      <c r="C344" s="8" t="s">
        <v>1362</v>
      </c>
      <c r="D344" s="8" t="s">
        <v>1364</v>
      </c>
      <c r="E344" s="8" t="s">
        <v>1366</v>
      </c>
    </row>
    <row r="345" spans="1:9" x14ac:dyDescent="0.25">
      <c r="A345" s="10"/>
      <c r="B345" s="10"/>
      <c r="C345" s="10"/>
      <c r="D345" s="10"/>
      <c r="E345" s="10"/>
      <c r="F345" s="10"/>
      <c r="G345" s="10"/>
      <c r="H345" s="10"/>
      <c r="I345" s="10"/>
    </row>
    <row r="346" spans="1:9" x14ac:dyDescent="0.25">
      <c r="A346" s="8" t="s">
        <v>2484</v>
      </c>
      <c r="B346" s="8">
        <v>1</v>
      </c>
      <c r="C346" s="8" t="s">
        <v>1367</v>
      </c>
      <c r="D346" s="8" t="s">
        <v>1369</v>
      </c>
      <c r="E346" s="8" t="s">
        <v>1371</v>
      </c>
    </row>
    <row r="347" spans="1:9" x14ac:dyDescent="0.25">
      <c r="A347" s="8" t="s">
        <v>2484</v>
      </c>
      <c r="B347" s="8">
        <v>2</v>
      </c>
      <c r="C347" s="8">
        <v>2</v>
      </c>
      <c r="D347" s="8">
        <v>2</v>
      </c>
      <c r="E347" s="8">
        <v>2</v>
      </c>
    </row>
    <row r="348" spans="1:9" x14ac:dyDescent="0.25">
      <c r="A348" s="8" t="s">
        <v>2484</v>
      </c>
      <c r="B348" s="8">
        <v>3</v>
      </c>
      <c r="C348" s="8">
        <v>3</v>
      </c>
      <c r="D348" s="8">
        <v>3</v>
      </c>
      <c r="E348" s="8">
        <v>3</v>
      </c>
    </row>
    <row r="349" spans="1:9" x14ac:dyDescent="0.25">
      <c r="A349" s="8" t="s">
        <v>2484</v>
      </c>
      <c r="B349" s="8">
        <v>4</v>
      </c>
      <c r="C349" s="8">
        <v>4</v>
      </c>
      <c r="D349" s="8">
        <v>4</v>
      </c>
      <c r="E349" s="8">
        <v>4</v>
      </c>
    </row>
    <row r="350" spans="1:9" x14ac:dyDescent="0.25">
      <c r="A350" s="8" t="s">
        <v>2484</v>
      </c>
      <c r="B350" s="8">
        <v>5</v>
      </c>
      <c r="C350" s="8" t="s">
        <v>1368</v>
      </c>
      <c r="D350" s="8" t="s">
        <v>1370</v>
      </c>
      <c r="E350" s="8" t="s">
        <v>1372</v>
      </c>
    </row>
    <row r="351" spans="1:9" x14ac:dyDescent="0.25">
      <c r="A351" s="10"/>
      <c r="B351" s="10"/>
      <c r="C351" s="10"/>
      <c r="D351" s="10"/>
      <c r="E351" s="10"/>
      <c r="F351" s="10"/>
      <c r="G351" s="10"/>
      <c r="H351" s="10"/>
      <c r="I351" s="10"/>
    </row>
    <row r="352" spans="1:9" x14ac:dyDescent="0.25">
      <c r="A352" s="8" t="s">
        <v>2485</v>
      </c>
      <c r="B352" s="8">
        <v>1</v>
      </c>
      <c r="C352" s="8" t="s">
        <v>1373</v>
      </c>
      <c r="D352" s="8" t="s">
        <v>1375</v>
      </c>
      <c r="E352" s="8" t="s">
        <v>1377</v>
      </c>
    </row>
    <row r="353" spans="1:9" x14ac:dyDescent="0.25">
      <c r="A353" s="8" t="s">
        <v>2485</v>
      </c>
      <c r="B353" s="8">
        <v>2</v>
      </c>
      <c r="C353" s="8">
        <v>2</v>
      </c>
      <c r="D353" s="8">
        <v>2</v>
      </c>
      <c r="E353" s="8">
        <v>2</v>
      </c>
    </row>
    <row r="354" spans="1:9" x14ac:dyDescent="0.25">
      <c r="A354" s="8" t="s">
        <v>2485</v>
      </c>
      <c r="B354" s="8">
        <v>3</v>
      </c>
      <c r="C354" s="8">
        <v>3</v>
      </c>
      <c r="D354" s="8">
        <v>3</v>
      </c>
      <c r="E354" s="8">
        <v>3</v>
      </c>
    </row>
    <row r="355" spans="1:9" x14ac:dyDescent="0.25">
      <c r="A355" s="8" t="s">
        <v>2485</v>
      </c>
      <c r="B355" s="8">
        <v>4</v>
      </c>
      <c r="C355" s="8">
        <v>4</v>
      </c>
      <c r="D355" s="8">
        <v>4</v>
      </c>
      <c r="E355" s="8">
        <v>4</v>
      </c>
    </row>
    <row r="356" spans="1:9" x14ac:dyDescent="0.25">
      <c r="A356" s="8" t="s">
        <v>2485</v>
      </c>
      <c r="B356" s="8">
        <v>5</v>
      </c>
      <c r="C356" s="8" t="s">
        <v>1374</v>
      </c>
      <c r="D356" s="8" t="s">
        <v>1376</v>
      </c>
      <c r="E356" s="8" t="s">
        <v>1378</v>
      </c>
    </row>
    <row r="357" spans="1:9" x14ac:dyDescent="0.25">
      <c r="A357" s="9"/>
      <c r="B357" s="9"/>
      <c r="C357" s="9"/>
      <c r="D357" s="9"/>
      <c r="E357" s="10"/>
      <c r="F357" s="10"/>
      <c r="G357" s="10"/>
      <c r="H357" s="10"/>
      <c r="I357" s="10"/>
    </row>
    <row r="358" spans="1:9" x14ac:dyDescent="0.25">
      <c r="A358" s="8" t="s">
        <v>2486</v>
      </c>
      <c r="B358" s="8">
        <v>1</v>
      </c>
      <c r="C358" s="8" t="s">
        <v>1380</v>
      </c>
      <c r="D358" s="8" t="s">
        <v>546</v>
      </c>
      <c r="E358" s="8" t="s">
        <v>2487</v>
      </c>
    </row>
    <row r="359" spans="1:9" x14ac:dyDescent="0.25">
      <c r="A359" s="8" t="s">
        <v>2486</v>
      </c>
      <c r="B359" s="8">
        <v>2</v>
      </c>
      <c r="C359" s="8" t="s">
        <v>822</v>
      </c>
      <c r="D359" s="8" t="s">
        <v>545</v>
      </c>
      <c r="E359" s="8" t="s">
        <v>1143</v>
      </c>
    </row>
    <row r="360" spans="1:9" x14ac:dyDescent="0.25">
      <c r="A360" s="8" t="s">
        <v>2486</v>
      </c>
      <c r="B360" s="8">
        <v>3</v>
      </c>
      <c r="C360" s="8" t="s">
        <v>99</v>
      </c>
      <c r="D360" s="8" t="s">
        <v>544</v>
      </c>
      <c r="E360" s="8" t="s">
        <v>1142</v>
      </c>
    </row>
    <row r="361" spans="1:9" x14ac:dyDescent="0.25">
      <c r="A361" s="8" t="s">
        <v>2486</v>
      </c>
      <c r="B361" s="8">
        <v>4</v>
      </c>
      <c r="C361" s="8" t="s">
        <v>97</v>
      </c>
      <c r="D361" s="8" t="s">
        <v>828</v>
      </c>
      <c r="E361" s="8" t="s">
        <v>1733</v>
      </c>
    </row>
    <row r="362" spans="1:9" x14ac:dyDescent="0.25">
      <c r="A362" s="10"/>
      <c r="B362" s="10"/>
      <c r="C362" s="10"/>
      <c r="D362" s="10"/>
      <c r="E362" s="10"/>
      <c r="F362" s="10"/>
      <c r="G362" s="10"/>
      <c r="H362" s="10"/>
      <c r="I362" s="10"/>
    </row>
    <row r="363" spans="1:9" x14ac:dyDescent="0.25">
      <c r="A363" s="8" t="s">
        <v>2488</v>
      </c>
      <c r="B363" s="8">
        <v>1</v>
      </c>
      <c r="C363" s="8" t="s">
        <v>1381</v>
      </c>
      <c r="D363" s="8" t="s">
        <v>1384</v>
      </c>
      <c r="E363" s="8" t="s">
        <v>1387</v>
      </c>
    </row>
    <row r="364" spans="1:9" x14ac:dyDescent="0.25">
      <c r="A364" s="8" t="s">
        <v>2488</v>
      </c>
      <c r="B364" s="8">
        <v>2</v>
      </c>
      <c r="C364" s="8" t="s">
        <v>1382</v>
      </c>
      <c r="D364" s="8" t="s">
        <v>1385</v>
      </c>
      <c r="E364" s="8" t="s">
        <v>1388</v>
      </c>
    </row>
    <row r="365" spans="1:9" x14ac:dyDescent="0.25">
      <c r="A365" s="8" t="s">
        <v>2488</v>
      </c>
      <c r="B365" s="8">
        <v>3</v>
      </c>
      <c r="C365" s="8" t="s">
        <v>1383</v>
      </c>
      <c r="D365" s="8" t="s">
        <v>1386</v>
      </c>
      <c r="E365" s="8" t="s">
        <v>1389</v>
      </c>
    </row>
    <row r="366" spans="1:9" x14ac:dyDescent="0.25">
      <c r="A366" s="10"/>
      <c r="B366" s="10"/>
      <c r="C366" s="10"/>
      <c r="D366" s="10"/>
      <c r="E366" s="10"/>
      <c r="F366" s="10"/>
      <c r="G366" s="10"/>
      <c r="H366" s="10"/>
      <c r="I366" s="10"/>
    </row>
    <row r="367" spans="1:9" x14ac:dyDescent="0.25">
      <c r="A367" s="7" t="s">
        <v>1883</v>
      </c>
      <c r="B367" s="7">
        <v>1</v>
      </c>
      <c r="C367" s="7" t="s">
        <v>1875</v>
      </c>
      <c r="D367" s="7" t="s">
        <v>2489</v>
      </c>
      <c r="E367" s="7" t="s">
        <v>2490</v>
      </c>
    </row>
    <row r="368" spans="1:9" x14ac:dyDescent="0.25">
      <c r="A368" s="7" t="s">
        <v>1883</v>
      </c>
      <c r="B368" s="7">
        <v>2</v>
      </c>
      <c r="C368" s="8" t="s">
        <v>3056</v>
      </c>
      <c r="D368" s="7" t="s">
        <v>3058</v>
      </c>
      <c r="E368" s="7" t="s">
        <v>3059</v>
      </c>
    </row>
    <row r="369" spans="1:9" x14ac:dyDescent="0.25">
      <c r="A369" s="7" t="s">
        <v>1883</v>
      </c>
      <c r="B369" s="7">
        <v>3</v>
      </c>
      <c r="C369" s="7" t="s">
        <v>3057</v>
      </c>
      <c r="D369" s="7" t="s">
        <v>1876</v>
      </c>
      <c r="E369" s="7" t="s">
        <v>2491</v>
      </c>
    </row>
    <row r="370" spans="1:9" x14ac:dyDescent="0.25">
      <c r="A370" s="9"/>
      <c r="B370" s="9"/>
      <c r="C370" s="9"/>
      <c r="D370" s="9"/>
      <c r="E370" s="9"/>
      <c r="F370" s="10"/>
      <c r="G370" s="10"/>
      <c r="H370" s="10"/>
      <c r="I370" s="10"/>
    </row>
    <row r="371" spans="1:9" x14ac:dyDescent="0.25">
      <c r="A371" s="7" t="s">
        <v>1882</v>
      </c>
      <c r="B371" s="7">
        <v>1</v>
      </c>
      <c r="C371" s="7" t="s">
        <v>142</v>
      </c>
      <c r="D371" s="7" t="s">
        <v>143</v>
      </c>
      <c r="E371" s="7" t="s">
        <v>1332</v>
      </c>
    </row>
    <row r="372" spans="1:9" x14ac:dyDescent="0.25">
      <c r="A372" s="7" t="s">
        <v>1882</v>
      </c>
      <c r="B372" s="7">
        <v>2</v>
      </c>
      <c r="C372" s="7" t="s">
        <v>144</v>
      </c>
      <c r="D372" s="7" t="s">
        <v>1877</v>
      </c>
      <c r="E372" s="7" t="s">
        <v>1878</v>
      </c>
    </row>
    <row r="373" spans="1:9" x14ac:dyDescent="0.25">
      <c r="A373" s="9"/>
      <c r="B373" s="9"/>
      <c r="C373" s="10"/>
      <c r="D373" s="10"/>
      <c r="E373" s="9"/>
      <c r="F373" s="10"/>
      <c r="G373" s="10"/>
      <c r="H373" s="10"/>
      <c r="I373" s="10"/>
    </row>
    <row r="374" spans="1:9" x14ac:dyDescent="0.25">
      <c r="A374" s="7" t="s">
        <v>1881</v>
      </c>
      <c r="B374" s="7">
        <v>1</v>
      </c>
      <c r="C374" s="8" t="s">
        <v>1864</v>
      </c>
      <c r="D374" s="8" t="s">
        <v>1867</v>
      </c>
      <c r="E374" s="8" t="s">
        <v>1870</v>
      </c>
    </row>
    <row r="375" spans="1:9" x14ac:dyDescent="0.25">
      <c r="A375" s="7" t="s">
        <v>1881</v>
      </c>
      <c r="B375" s="7">
        <v>2</v>
      </c>
      <c r="C375" s="8" t="s">
        <v>1865</v>
      </c>
      <c r="D375" s="8" t="s">
        <v>1868</v>
      </c>
      <c r="E375" s="8" t="s">
        <v>1133</v>
      </c>
    </row>
    <row r="376" spans="1:9" x14ac:dyDescent="0.25">
      <c r="A376" s="7" t="s">
        <v>1881</v>
      </c>
      <c r="B376" s="7">
        <v>3</v>
      </c>
      <c r="C376" s="8" t="s">
        <v>1866</v>
      </c>
      <c r="D376" s="8" t="s">
        <v>1869</v>
      </c>
      <c r="E376" s="8" t="s">
        <v>1871</v>
      </c>
    </row>
    <row r="377" spans="1:9" x14ac:dyDescent="0.25">
      <c r="A377" s="10"/>
      <c r="B377" s="10"/>
      <c r="C377" s="10"/>
      <c r="D377" s="10"/>
      <c r="E377" s="10"/>
      <c r="F377" s="10"/>
      <c r="G377" s="10"/>
      <c r="H377" s="10"/>
      <c r="I377" s="10"/>
    </row>
    <row r="378" spans="1:9" x14ac:dyDescent="0.25">
      <c r="A378" s="8" t="s">
        <v>2845</v>
      </c>
      <c r="B378" s="8" t="s">
        <v>154</v>
      </c>
      <c r="C378" s="8" t="s">
        <v>1390</v>
      </c>
      <c r="D378" s="8" t="s">
        <v>1463</v>
      </c>
      <c r="E378" s="8" t="s">
        <v>1537</v>
      </c>
    </row>
    <row r="379" spans="1:9" x14ac:dyDescent="0.25">
      <c r="A379" s="8" t="s">
        <v>2845</v>
      </c>
      <c r="B379" s="8" t="s">
        <v>155</v>
      </c>
      <c r="C379" s="8" t="s">
        <v>1391</v>
      </c>
      <c r="D379" s="8" t="s">
        <v>1464</v>
      </c>
      <c r="E379" s="8" t="s">
        <v>1538</v>
      </c>
    </row>
    <row r="380" spans="1:9" x14ac:dyDescent="0.25">
      <c r="A380" s="8" t="s">
        <v>2845</v>
      </c>
      <c r="B380" s="8" t="s">
        <v>156</v>
      </c>
      <c r="C380" s="8" t="s">
        <v>1392</v>
      </c>
      <c r="D380" s="8" t="s">
        <v>1465</v>
      </c>
      <c r="E380" s="8" t="s">
        <v>1539</v>
      </c>
    </row>
    <row r="381" spans="1:9" x14ac:dyDescent="0.25">
      <c r="A381" s="8" t="s">
        <v>2845</v>
      </c>
      <c r="B381" s="8" t="s">
        <v>157</v>
      </c>
      <c r="C381" s="8" t="s">
        <v>1393</v>
      </c>
      <c r="D381" s="8" t="s">
        <v>1466</v>
      </c>
      <c r="E381" s="8" t="s">
        <v>1540</v>
      </c>
    </row>
    <row r="382" spans="1:9" x14ac:dyDescent="0.25">
      <c r="A382" s="8" t="s">
        <v>2845</v>
      </c>
      <c r="B382" s="8" t="s">
        <v>158</v>
      </c>
      <c r="C382" s="8" t="s">
        <v>1394</v>
      </c>
      <c r="D382" s="8" t="s">
        <v>1467</v>
      </c>
      <c r="E382" s="8" t="s">
        <v>1467</v>
      </c>
    </row>
    <row r="383" spans="1:9" x14ac:dyDescent="0.25">
      <c r="A383" s="8" t="s">
        <v>2845</v>
      </c>
      <c r="B383" s="8" t="s">
        <v>159</v>
      </c>
      <c r="C383" s="8" t="s">
        <v>1395</v>
      </c>
      <c r="D383" s="8" t="s">
        <v>1468</v>
      </c>
      <c r="E383" s="8" t="s">
        <v>1541</v>
      </c>
    </row>
    <row r="384" spans="1:9" x14ac:dyDescent="0.25">
      <c r="A384" s="8" t="s">
        <v>2845</v>
      </c>
      <c r="B384" s="8" t="s">
        <v>160</v>
      </c>
      <c r="C384" s="8" t="s">
        <v>1396</v>
      </c>
      <c r="D384" s="8" t="s">
        <v>1469</v>
      </c>
      <c r="E384" s="8" t="s">
        <v>1542</v>
      </c>
    </row>
    <row r="385" spans="1:5" x14ac:dyDescent="0.25">
      <c r="A385" s="8" t="s">
        <v>2845</v>
      </c>
      <c r="B385" s="8" t="s">
        <v>161</v>
      </c>
      <c r="C385" s="8" t="s">
        <v>1397</v>
      </c>
      <c r="D385" s="8" t="s">
        <v>1470</v>
      </c>
      <c r="E385" s="8" t="s">
        <v>1543</v>
      </c>
    </row>
    <row r="386" spans="1:5" x14ac:dyDescent="0.25">
      <c r="A386" s="8" t="s">
        <v>2845</v>
      </c>
      <c r="B386" s="8" t="s">
        <v>162</v>
      </c>
      <c r="C386" s="8" t="s">
        <v>1398</v>
      </c>
      <c r="D386" s="8" t="s">
        <v>1471</v>
      </c>
      <c r="E386" s="8" t="s">
        <v>1544</v>
      </c>
    </row>
    <row r="387" spans="1:5" x14ac:dyDescent="0.25">
      <c r="A387" s="8" t="s">
        <v>2845</v>
      </c>
      <c r="B387" s="8" t="s">
        <v>163</v>
      </c>
      <c r="C387" s="8" t="s">
        <v>1399</v>
      </c>
      <c r="D387" s="8" t="s">
        <v>1472</v>
      </c>
      <c r="E387" s="8" t="s">
        <v>1545</v>
      </c>
    </row>
    <row r="388" spans="1:5" x14ac:dyDescent="0.25">
      <c r="A388" s="8" t="s">
        <v>2845</v>
      </c>
      <c r="B388" s="8" t="s">
        <v>164</v>
      </c>
      <c r="C388" s="8" t="s">
        <v>1400</v>
      </c>
      <c r="D388" s="8" t="s">
        <v>1473</v>
      </c>
      <c r="E388" s="8" t="s">
        <v>1546</v>
      </c>
    </row>
    <row r="389" spans="1:5" x14ac:dyDescent="0.25">
      <c r="A389" s="8" t="s">
        <v>2845</v>
      </c>
      <c r="B389" s="8" t="s">
        <v>165</v>
      </c>
      <c r="C389" s="8" t="s">
        <v>1401</v>
      </c>
      <c r="D389" s="8" t="s">
        <v>1474</v>
      </c>
      <c r="E389" s="8" t="s">
        <v>1547</v>
      </c>
    </row>
    <row r="390" spans="1:5" x14ac:dyDescent="0.25">
      <c r="A390" s="8" t="s">
        <v>2845</v>
      </c>
      <c r="B390" s="8" t="s">
        <v>166</v>
      </c>
      <c r="C390" s="8" t="s">
        <v>1402</v>
      </c>
      <c r="D390" s="8" t="s">
        <v>1475</v>
      </c>
      <c r="E390" s="8" t="s">
        <v>1548</v>
      </c>
    </row>
    <row r="391" spans="1:5" x14ac:dyDescent="0.25">
      <c r="A391" s="8" t="s">
        <v>2845</v>
      </c>
      <c r="B391" s="8" t="s">
        <v>167</v>
      </c>
      <c r="C391" s="8" t="s">
        <v>1403</v>
      </c>
      <c r="D391" s="8" t="s">
        <v>1476</v>
      </c>
      <c r="E391" s="8" t="s">
        <v>1549</v>
      </c>
    </row>
    <row r="392" spans="1:5" x14ac:dyDescent="0.25">
      <c r="A392" s="8" t="s">
        <v>2845</v>
      </c>
      <c r="B392" s="8" t="s">
        <v>168</v>
      </c>
      <c r="C392" s="8" t="s">
        <v>1404</v>
      </c>
      <c r="D392" s="8" t="s">
        <v>1477</v>
      </c>
      <c r="E392" s="8" t="s">
        <v>1550</v>
      </c>
    </row>
    <row r="393" spans="1:5" x14ac:dyDescent="0.25">
      <c r="A393" s="8" t="s">
        <v>2845</v>
      </c>
      <c r="B393" s="8" t="s">
        <v>169</v>
      </c>
      <c r="C393" s="8" t="s">
        <v>1405</v>
      </c>
      <c r="D393" s="8" t="s">
        <v>1478</v>
      </c>
      <c r="E393" s="8" t="s">
        <v>1551</v>
      </c>
    </row>
    <row r="394" spans="1:5" x14ac:dyDescent="0.25">
      <c r="A394" s="8" t="s">
        <v>2845</v>
      </c>
      <c r="B394" s="8" t="s">
        <v>170</v>
      </c>
      <c r="C394" s="8" t="s">
        <v>1406</v>
      </c>
      <c r="D394" s="8" t="s">
        <v>1479</v>
      </c>
      <c r="E394" s="8" t="s">
        <v>1552</v>
      </c>
    </row>
    <row r="395" spans="1:5" x14ac:dyDescent="0.25">
      <c r="A395" s="8" t="s">
        <v>2845</v>
      </c>
      <c r="B395" s="8" t="s">
        <v>171</v>
      </c>
      <c r="C395" s="8" t="s">
        <v>1407</v>
      </c>
      <c r="D395" s="8" t="s">
        <v>1480</v>
      </c>
      <c r="E395" s="8" t="s">
        <v>1480</v>
      </c>
    </row>
    <row r="396" spans="1:5" x14ac:dyDescent="0.25">
      <c r="A396" s="8" t="s">
        <v>2845</v>
      </c>
      <c r="B396" s="8" t="s">
        <v>172</v>
      </c>
      <c r="C396" s="8" t="s">
        <v>1408</v>
      </c>
      <c r="D396" s="8" t="s">
        <v>1481</v>
      </c>
      <c r="E396" s="8" t="s">
        <v>1553</v>
      </c>
    </row>
    <row r="397" spans="1:5" x14ac:dyDescent="0.25">
      <c r="A397" s="8" t="s">
        <v>2845</v>
      </c>
      <c r="B397" s="8" t="s">
        <v>173</v>
      </c>
      <c r="C397" s="8" t="s">
        <v>1409</v>
      </c>
      <c r="D397" s="8" t="s">
        <v>1482</v>
      </c>
      <c r="E397" s="8" t="s">
        <v>1554</v>
      </c>
    </row>
    <row r="398" spans="1:5" x14ac:dyDescent="0.25">
      <c r="A398" s="8" t="s">
        <v>2845</v>
      </c>
      <c r="B398" s="8" t="s">
        <v>174</v>
      </c>
      <c r="C398" s="8" t="s">
        <v>1410</v>
      </c>
      <c r="D398" s="8" t="s">
        <v>1483</v>
      </c>
      <c r="E398" s="50" t="s">
        <v>3298</v>
      </c>
    </row>
    <row r="399" spans="1:5" x14ac:dyDescent="0.25">
      <c r="A399" s="8" t="s">
        <v>2845</v>
      </c>
      <c r="B399" s="8" t="s">
        <v>175</v>
      </c>
      <c r="C399" s="8" t="s">
        <v>1411</v>
      </c>
      <c r="D399" s="8" t="s">
        <v>1484</v>
      </c>
      <c r="E399" s="8" t="s">
        <v>1555</v>
      </c>
    </row>
    <row r="400" spans="1:5" x14ac:dyDescent="0.25">
      <c r="A400" s="8" t="s">
        <v>2845</v>
      </c>
      <c r="B400" s="8" t="s">
        <v>176</v>
      </c>
      <c r="C400" s="8" t="s">
        <v>1412</v>
      </c>
      <c r="D400" s="8" t="s">
        <v>1485</v>
      </c>
      <c r="E400" s="8" t="s">
        <v>1556</v>
      </c>
    </row>
    <row r="401" spans="1:5" x14ac:dyDescent="0.25">
      <c r="A401" s="8" t="s">
        <v>2845</v>
      </c>
      <c r="B401" s="8" t="s">
        <v>177</v>
      </c>
      <c r="C401" s="8" t="s">
        <v>1413</v>
      </c>
      <c r="D401" s="8" t="s">
        <v>1486</v>
      </c>
      <c r="E401" s="8" t="s">
        <v>1486</v>
      </c>
    </row>
    <row r="402" spans="1:5" x14ac:dyDescent="0.25">
      <c r="A402" s="8" t="s">
        <v>2845</v>
      </c>
      <c r="B402" s="8" t="s">
        <v>178</v>
      </c>
      <c r="C402" s="8" t="s">
        <v>1414</v>
      </c>
      <c r="D402" s="8" t="s">
        <v>1487</v>
      </c>
      <c r="E402" s="8" t="s">
        <v>1557</v>
      </c>
    </row>
    <row r="403" spans="1:5" x14ac:dyDescent="0.25">
      <c r="A403" s="8" t="s">
        <v>2845</v>
      </c>
      <c r="B403" s="8" t="s">
        <v>179</v>
      </c>
      <c r="C403" s="8" t="s">
        <v>1415</v>
      </c>
      <c r="D403" s="8" t="s">
        <v>1488</v>
      </c>
      <c r="E403" s="8" t="s">
        <v>1558</v>
      </c>
    </row>
    <row r="404" spans="1:5" x14ac:dyDescent="0.25">
      <c r="A404" s="8" t="s">
        <v>2845</v>
      </c>
      <c r="B404" s="8" t="s">
        <v>180</v>
      </c>
      <c r="C404" s="8" t="s">
        <v>1416</v>
      </c>
      <c r="D404" s="8" t="s">
        <v>1489</v>
      </c>
      <c r="E404" s="8" t="s">
        <v>1559</v>
      </c>
    </row>
    <row r="405" spans="1:5" x14ac:dyDescent="0.25">
      <c r="A405" s="8" t="s">
        <v>2845</v>
      </c>
      <c r="B405" s="8" t="s">
        <v>181</v>
      </c>
      <c r="C405" s="8" t="s">
        <v>1417</v>
      </c>
      <c r="D405" s="8" t="s">
        <v>1490</v>
      </c>
      <c r="E405" s="8" t="s">
        <v>1490</v>
      </c>
    </row>
    <row r="406" spans="1:5" x14ac:dyDescent="0.25">
      <c r="A406" s="8" t="s">
        <v>2845</v>
      </c>
      <c r="B406" s="8" t="s">
        <v>182</v>
      </c>
      <c r="C406" s="8" t="s">
        <v>1418</v>
      </c>
      <c r="D406" s="8" t="s">
        <v>1491</v>
      </c>
      <c r="E406" s="8" t="s">
        <v>1560</v>
      </c>
    </row>
    <row r="407" spans="1:5" x14ac:dyDescent="0.25">
      <c r="A407" s="8" t="s">
        <v>2845</v>
      </c>
      <c r="B407" s="8" t="s">
        <v>183</v>
      </c>
      <c r="C407" s="8" t="s">
        <v>1419</v>
      </c>
      <c r="D407" s="8" t="s">
        <v>1492</v>
      </c>
      <c r="E407" s="8" t="s">
        <v>1561</v>
      </c>
    </row>
    <row r="408" spans="1:5" x14ac:dyDescent="0.25">
      <c r="A408" s="8" t="s">
        <v>2845</v>
      </c>
      <c r="B408" s="8" t="s">
        <v>184</v>
      </c>
      <c r="C408" s="8" t="s">
        <v>1420</v>
      </c>
      <c r="D408" s="8" t="s">
        <v>1493</v>
      </c>
      <c r="E408" s="8" t="s">
        <v>1562</v>
      </c>
    </row>
    <row r="409" spans="1:5" x14ac:dyDescent="0.25">
      <c r="A409" s="8" t="s">
        <v>2845</v>
      </c>
      <c r="B409" s="8" t="s">
        <v>185</v>
      </c>
      <c r="C409" s="8" t="s">
        <v>1421</v>
      </c>
      <c r="D409" s="8" t="s">
        <v>1494</v>
      </c>
      <c r="E409" s="8" t="s">
        <v>1563</v>
      </c>
    </row>
    <row r="410" spans="1:5" x14ac:dyDescent="0.25">
      <c r="A410" s="8" t="s">
        <v>2845</v>
      </c>
      <c r="B410" s="8" t="s">
        <v>186</v>
      </c>
      <c r="C410" s="8" t="s">
        <v>1422</v>
      </c>
      <c r="D410" s="8" t="s">
        <v>1495</v>
      </c>
      <c r="E410" s="8" t="s">
        <v>1564</v>
      </c>
    </row>
    <row r="411" spans="1:5" x14ac:dyDescent="0.25">
      <c r="A411" s="8" t="s">
        <v>2845</v>
      </c>
      <c r="B411" s="8" t="s">
        <v>187</v>
      </c>
      <c r="C411" s="8" t="s">
        <v>1423</v>
      </c>
      <c r="D411" s="8" t="s">
        <v>1496</v>
      </c>
      <c r="E411" s="8" t="s">
        <v>1565</v>
      </c>
    </row>
    <row r="412" spans="1:5" x14ac:dyDescent="0.25">
      <c r="A412" s="8" t="s">
        <v>2845</v>
      </c>
      <c r="B412" s="8" t="s">
        <v>188</v>
      </c>
      <c r="C412" s="8" t="s">
        <v>1424</v>
      </c>
      <c r="D412" s="8" t="s">
        <v>1497</v>
      </c>
      <c r="E412" s="8" t="s">
        <v>1566</v>
      </c>
    </row>
    <row r="413" spans="1:5" x14ac:dyDescent="0.25">
      <c r="A413" s="8" t="s">
        <v>2845</v>
      </c>
      <c r="B413" s="8" t="s">
        <v>189</v>
      </c>
      <c r="C413" s="8" t="s">
        <v>1425</v>
      </c>
      <c r="D413" s="8" t="s">
        <v>1498</v>
      </c>
      <c r="E413" s="8" t="s">
        <v>1567</v>
      </c>
    </row>
    <row r="414" spans="1:5" x14ac:dyDescent="0.25">
      <c r="A414" s="8" t="s">
        <v>2845</v>
      </c>
      <c r="B414" s="8" t="s">
        <v>190</v>
      </c>
      <c r="C414" s="8" t="s">
        <v>1426</v>
      </c>
      <c r="D414" s="8" t="s">
        <v>1499</v>
      </c>
      <c r="E414" s="8" t="s">
        <v>1499</v>
      </c>
    </row>
    <row r="415" spans="1:5" x14ac:dyDescent="0.25">
      <c r="A415" s="8" t="s">
        <v>2845</v>
      </c>
      <c r="B415" s="8" t="s">
        <v>191</v>
      </c>
      <c r="C415" s="8" t="s">
        <v>1427</v>
      </c>
      <c r="D415" s="8" t="s">
        <v>1500</v>
      </c>
      <c r="E415" s="8" t="s">
        <v>1568</v>
      </c>
    </row>
    <row r="416" spans="1:5" x14ac:dyDescent="0.25">
      <c r="A416" s="8" t="s">
        <v>2845</v>
      </c>
      <c r="B416" s="8" t="s">
        <v>192</v>
      </c>
      <c r="C416" s="8" t="s">
        <v>1428</v>
      </c>
      <c r="D416" s="8" t="s">
        <v>1501</v>
      </c>
      <c r="E416" s="8" t="s">
        <v>1569</v>
      </c>
    </row>
    <row r="417" spans="1:5" x14ac:dyDescent="0.25">
      <c r="A417" s="8" t="s">
        <v>2845</v>
      </c>
      <c r="B417" s="8" t="s">
        <v>193</v>
      </c>
      <c r="C417" s="8" t="s">
        <v>1429</v>
      </c>
      <c r="D417" s="8" t="s">
        <v>1502</v>
      </c>
      <c r="E417" s="8" t="s">
        <v>1570</v>
      </c>
    </row>
    <row r="418" spans="1:5" x14ac:dyDescent="0.25">
      <c r="A418" s="8" t="s">
        <v>2845</v>
      </c>
      <c r="B418" s="8" t="s">
        <v>194</v>
      </c>
      <c r="C418" s="8" t="s">
        <v>1430</v>
      </c>
      <c r="D418" s="8" t="s">
        <v>1503</v>
      </c>
      <c r="E418" s="8" t="s">
        <v>1503</v>
      </c>
    </row>
    <row r="419" spans="1:5" x14ac:dyDescent="0.25">
      <c r="A419" s="8" t="s">
        <v>2845</v>
      </c>
      <c r="B419" s="8" t="s">
        <v>195</v>
      </c>
      <c r="C419" s="8" t="s">
        <v>1431</v>
      </c>
      <c r="D419" s="8" t="s">
        <v>1504</v>
      </c>
      <c r="E419" s="8" t="s">
        <v>1571</v>
      </c>
    </row>
    <row r="420" spans="1:5" x14ac:dyDescent="0.25">
      <c r="A420" s="8" t="s">
        <v>2845</v>
      </c>
      <c r="B420" s="8" t="s">
        <v>196</v>
      </c>
      <c r="C420" s="8" t="s">
        <v>1432</v>
      </c>
      <c r="D420" s="8" t="s">
        <v>1505</v>
      </c>
      <c r="E420" s="8" t="s">
        <v>1572</v>
      </c>
    </row>
    <row r="421" spans="1:5" x14ac:dyDescent="0.25">
      <c r="A421" s="8" t="s">
        <v>2845</v>
      </c>
      <c r="B421" s="8" t="s">
        <v>197</v>
      </c>
      <c r="C421" s="8" t="s">
        <v>1433</v>
      </c>
      <c r="D421" s="8" t="s">
        <v>1506</v>
      </c>
      <c r="E421" s="8" t="s">
        <v>1573</v>
      </c>
    </row>
    <row r="422" spans="1:5" x14ac:dyDescent="0.25">
      <c r="A422" s="8" t="s">
        <v>2845</v>
      </c>
      <c r="B422" s="8" t="s">
        <v>198</v>
      </c>
      <c r="C422" s="8" t="s">
        <v>1434</v>
      </c>
      <c r="D422" s="8" t="s">
        <v>1507</v>
      </c>
      <c r="E422" s="8" t="s">
        <v>1574</v>
      </c>
    </row>
    <row r="423" spans="1:5" x14ac:dyDescent="0.25">
      <c r="A423" s="8" t="s">
        <v>2845</v>
      </c>
      <c r="B423" s="8" t="s">
        <v>199</v>
      </c>
      <c r="C423" s="8" t="s">
        <v>1435</v>
      </c>
      <c r="D423" s="8" t="s">
        <v>1508</v>
      </c>
      <c r="E423" s="8" t="s">
        <v>1575</v>
      </c>
    </row>
    <row r="424" spans="1:5" x14ac:dyDescent="0.25">
      <c r="A424" s="8" t="s">
        <v>2845</v>
      </c>
      <c r="B424" s="8" t="s">
        <v>200</v>
      </c>
      <c r="C424" s="8" t="s">
        <v>1436</v>
      </c>
      <c r="D424" s="8" t="s">
        <v>1509</v>
      </c>
      <c r="E424" s="8" t="s">
        <v>1576</v>
      </c>
    </row>
    <row r="425" spans="1:5" x14ac:dyDescent="0.25">
      <c r="A425" s="8" t="s">
        <v>2845</v>
      </c>
      <c r="B425" s="8" t="s">
        <v>201</v>
      </c>
      <c r="C425" s="8" t="s">
        <v>1437</v>
      </c>
      <c r="D425" s="8" t="s">
        <v>1510</v>
      </c>
      <c r="E425" s="8" t="s">
        <v>1577</v>
      </c>
    </row>
    <row r="426" spans="1:5" x14ac:dyDescent="0.25">
      <c r="A426" s="8" t="s">
        <v>2845</v>
      </c>
      <c r="B426" s="8" t="s">
        <v>202</v>
      </c>
      <c r="C426" s="8" t="s">
        <v>1438</v>
      </c>
      <c r="D426" s="8" t="s">
        <v>1511</v>
      </c>
      <c r="E426" s="8" t="s">
        <v>1578</v>
      </c>
    </row>
    <row r="427" spans="1:5" x14ac:dyDescent="0.25">
      <c r="A427" s="8" t="s">
        <v>2845</v>
      </c>
      <c r="B427" s="8" t="s">
        <v>203</v>
      </c>
      <c r="C427" s="8" t="s">
        <v>1439</v>
      </c>
      <c r="D427" s="8" t="s">
        <v>1512</v>
      </c>
      <c r="E427" s="8" t="s">
        <v>1579</v>
      </c>
    </row>
    <row r="428" spans="1:5" x14ac:dyDescent="0.25">
      <c r="A428" s="8" t="s">
        <v>2845</v>
      </c>
      <c r="B428" s="8" t="s">
        <v>204</v>
      </c>
      <c r="C428" s="8" t="s">
        <v>1440</v>
      </c>
      <c r="D428" s="8" t="s">
        <v>1513</v>
      </c>
      <c r="E428" s="8" t="s">
        <v>1513</v>
      </c>
    </row>
    <row r="429" spans="1:5" x14ac:dyDescent="0.25">
      <c r="A429" s="8" t="s">
        <v>2845</v>
      </c>
      <c r="B429" s="8" t="s">
        <v>205</v>
      </c>
      <c r="C429" s="8" t="s">
        <v>1441</v>
      </c>
      <c r="D429" s="8" t="s">
        <v>1514</v>
      </c>
      <c r="E429" s="8" t="s">
        <v>1580</v>
      </c>
    </row>
    <row r="430" spans="1:5" x14ac:dyDescent="0.25">
      <c r="A430" s="8" t="s">
        <v>2845</v>
      </c>
      <c r="B430" s="8" t="s">
        <v>206</v>
      </c>
      <c r="C430" s="8" t="s">
        <v>1442</v>
      </c>
      <c r="D430" s="8" t="s">
        <v>1515</v>
      </c>
      <c r="E430" s="8" t="s">
        <v>1581</v>
      </c>
    </row>
    <row r="431" spans="1:5" x14ac:dyDescent="0.25">
      <c r="A431" s="8" t="s">
        <v>2845</v>
      </c>
      <c r="B431" s="8" t="s">
        <v>207</v>
      </c>
      <c r="C431" s="8" t="s">
        <v>1443</v>
      </c>
      <c r="D431" s="8" t="s">
        <v>1516</v>
      </c>
      <c r="E431" s="8" t="s">
        <v>1582</v>
      </c>
    </row>
    <row r="432" spans="1:5" x14ac:dyDescent="0.25">
      <c r="A432" s="8" t="s">
        <v>2845</v>
      </c>
      <c r="B432" s="8" t="s">
        <v>208</v>
      </c>
      <c r="C432" s="8" t="s">
        <v>1444</v>
      </c>
      <c r="D432" s="8" t="s">
        <v>1517</v>
      </c>
      <c r="E432" s="8" t="s">
        <v>1583</v>
      </c>
    </row>
    <row r="433" spans="1:5" x14ac:dyDescent="0.25">
      <c r="A433" s="8" t="s">
        <v>2845</v>
      </c>
      <c r="B433" s="8" t="s">
        <v>209</v>
      </c>
      <c r="C433" s="8" t="s">
        <v>1445</v>
      </c>
      <c r="D433" s="8" t="s">
        <v>1518</v>
      </c>
      <c r="E433" s="8" t="s">
        <v>1584</v>
      </c>
    </row>
    <row r="434" spans="1:5" x14ac:dyDescent="0.25">
      <c r="A434" s="8" t="s">
        <v>2845</v>
      </c>
      <c r="B434" s="8" t="s">
        <v>210</v>
      </c>
      <c r="C434" s="8" t="s">
        <v>1446</v>
      </c>
      <c r="D434" s="8" t="s">
        <v>1519</v>
      </c>
      <c r="E434" s="8" t="s">
        <v>1585</v>
      </c>
    </row>
    <row r="435" spans="1:5" x14ac:dyDescent="0.25">
      <c r="A435" s="8" t="s">
        <v>2845</v>
      </c>
      <c r="B435" s="8" t="s">
        <v>211</v>
      </c>
      <c r="C435" s="8" t="s">
        <v>1447</v>
      </c>
      <c r="D435" s="8" t="s">
        <v>1520</v>
      </c>
      <c r="E435" s="8" t="s">
        <v>1586</v>
      </c>
    </row>
    <row r="436" spans="1:5" x14ac:dyDescent="0.25">
      <c r="A436" s="8" t="s">
        <v>2845</v>
      </c>
      <c r="B436" s="8" t="s">
        <v>212</v>
      </c>
      <c r="C436" s="8" t="s">
        <v>1448</v>
      </c>
      <c r="D436" s="8" t="s">
        <v>1521</v>
      </c>
      <c r="E436" s="8" t="s">
        <v>1587</v>
      </c>
    </row>
    <row r="437" spans="1:5" x14ac:dyDescent="0.25">
      <c r="A437" s="8" t="s">
        <v>2845</v>
      </c>
      <c r="B437" s="8" t="s">
        <v>213</v>
      </c>
      <c r="C437" s="8" t="s">
        <v>1449</v>
      </c>
      <c r="D437" s="8" t="s">
        <v>1522</v>
      </c>
      <c r="E437" s="8" t="s">
        <v>1588</v>
      </c>
    </row>
    <row r="438" spans="1:5" x14ac:dyDescent="0.25">
      <c r="A438" s="8" t="s">
        <v>2845</v>
      </c>
      <c r="B438" s="8" t="s">
        <v>214</v>
      </c>
      <c r="C438" s="8" t="s">
        <v>1450</v>
      </c>
      <c r="D438" s="8" t="s">
        <v>1523</v>
      </c>
      <c r="E438" s="8" t="s">
        <v>1589</v>
      </c>
    </row>
    <row r="439" spans="1:5" x14ac:dyDescent="0.25">
      <c r="A439" s="8" t="s">
        <v>2845</v>
      </c>
      <c r="B439" s="8" t="s">
        <v>215</v>
      </c>
      <c r="C439" s="8" t="s">
        <v>1451</v>
      </c>
      <c r="D439" s="8" t="s">
        <v>1524</v>
      </c>
      <c r="E439" s="8" t="s">
        <v>1590</v>
      </c>
    </row>
    <row r="440" spans="1:5" x14ac:dyDescent="0.25">
      <c r="A440" s="8" t="s">
        <v>2845</v>
      </c>
      <c r="B440" s="8" t="s">
        <v>216</v>
      </c>
      <c r="C440" s="8" t="s">
        <v>1452</v>
      </c>
      <c r="D440" s="8" t="s">
        <v>1525</v>
      </c>
      <c r="E440" s="8" t="s">
        <v>1591</v>
      </c>
    </row>
    <row r="441" spans="1:5" x14ac:dyDescent="0.25">
      <c r="A441" s="8" t="s">
        <v>2845</v>
      </c>
      <c r="B441" s="8" t="s">
        <v>217</v>
      </c>
      <c r="C441" s="8" t="s">
        <v>1453</v>
      </c>
      <c r="D441" s="8" t="s">
        <v>1526</v>
      </c>
      <c r="E441" s="8" t="s">
        <v>1592</v>
      </c>
    </row>
    <row r="442" spans="1:5" x14ac:dyDescent="0.25">
      <c r="A442" s="8" t="s">
        <v>2845</v>
      </c>
      <c r="B442" s="8" t="s">
        <v>218</v>
      </c>
      <c r="C442" s="8" t="s">
        <v>1454</v>
      </c>
      <c r="D442" s="8" t="s">
        <v>1527</v>
      </c>
      <c r="E442" s="8" t="s">
        <v>1593</v>
      </c>
    </row>
    <row r="443" spans="1:5" x14ac:dyDescent="0.25">
      <c r="A443" s="8" t="s">
        <v>2845</v>
      </c>
      <c r="B443" s="8" t="s">
        <v>219</v>
      </c>
      <c r="C443" s="8" t="s">
        <v>1455</v>
      </c>
      <c r="D443" s="8" t="s">
        <v>1528</v>
      </c>
      <c r="E443" s="8" t="s">
        <v>1594</v>
      </c>
    </row>
    <row r="444" spans="1:5" x14ac:dyDescent="0.25">
      <c r="A444" s="8" t="s">
        <v>2845</v>
      </c>
      <c r="B444" s="8" t="s">
        <v>220</v>
      </c>
      <c r="C444" s="8" t="s">
        <v>1456</v>
      </c>
      <c r="D444" s="8" t="s">
        <v>1529</v>
      </c>
      <c r="E444" s="8" t="s">
        <v>1529</v>
      </c>
    </row>
    <row r="445" spans="1:5" x14ac:dyDescent="0.25">
      <c r="A445" s="8" t="s">
        <v>2845</v>
      </c>
      <c r="B445" s="8" t="s">
        <v>221</v>
      </c>
      <c r="C445" s="8" t="s">
        <v>1457</v>
      </c>
      <c r="D445" s="8" t="s">
        <v>1530</v>
      </c>
      <c r="E445" s="8" t="s">
        <v>1595</v>
      </c>
    </row>
    <row r="446" spans="1:5" x14ac:dyDescent="0.25">
      <c r="A446" s="8" t="s">
        <v>2845</v>
      </c>
      <c r="B446" s="8" t="s">
        <v>222</v>
      </c>
      <c r="C446" s="8" t="s">
        <v>1458</v>
      </c>
      <c r="D446" s="8" t="s">
        <v>1531</v>
      </c>
      <c r="E446" s="8" t="s">
        <v>1596</v>
      </c>
    </row>
    <row r="447" spans="1:5" x14ac:dyDescent="0.25">
      <c r="A447" s="8" t="s">
        <v>2845</v>
      </c>
      <c r="B447" s="8" t="s">
        <v>223</v>
      </c>
      <c r="C447" s="8" t="s">
        <v>1459</v>
      </c>
      <c r="D447" s="8" t="s">
        <v>1532</v>
      </c>
      <c r="E447" s="8" t="s">
        <v>1597</v>
      </c>
    </row>
    <row r="448" spans="1:5" x14ac:dyDescent="0.25">
      <c r="A448" s="8" t="s">
        <v>2845</v>
      </c>
      <c r="B448" s="8" t="s">
        <v>224</v>
      </c>
      <c r="C448" s="8" t="s">
        <v>720</v>
      </c>
      <c r="D448" s="8" t="s">
        <v>1533</v>
      </c>
      <c r="E448" s="8" t="s">
        <v>1598</v>
      </c>
    </row>
    <row r="449" spans="1:9" x14ac:dyDescent="0.25">
      <c r="A449" s="8" t="s">
        <v>2845</v>
      </c>
      <c r="B449" s="8" t="s">
        <v>225</v>
      </c>
      <c r="C449" s="8" t="s">
        <v>1460</v>
      </c>
      <c r="D449" s="8" t="s">
        <v>1534</v>
      </c>
      <c r="E449" s="8" t="s">
        <v>1599</v>
      </c>
    </row>
    <row r="450" spans="1:9" x14ac:dyDescent="0.25">
      <c r="A450" s="8" t="s">
        <v>2845</v>
      </c>
      <c r="B450" s="8" t="s">
        <v>226</v>
      </c>
      <c r="C450" s="8" t="s">
        <v>1461</v>
      </c>
      <c r="D450" s="8" t="s">
        <v>1535</v>
      </c>
      <c r="E450" s="8" t="s">
        <v>1600</v>
      </c>
    </row>
    <row r="451" spans="1:9" x14ac:dyDescent="0.25">
      <c r="A451" s="8" t="s">
        <v>2845</v>
      </c>
      <c r="B451" s="8" t="s">
        <v>227</v>
      </c>
      <c r="C451" s="8" t="s">
        <v>1462</v>
      </c>
      <c r="D451" s="8" t="s">
        <v>1536</v>
      </c>
      <c r="E451" s="8" t="s">
        <v>1601</v>
      </c>
    </row>
    <row r="452" spans="1:9" x14ac:dyDescent="0.25">
      <c r="A452" s="10"/>
      <c r="B452" s="10"/>
      <c r="C452" s="10"/>
      <c r="D452" s="10"/>
      <c r="E452" s="10"/>
      <c r="F452" s="10"/>
      <c r="G452" s="10"/>
      <c r="H452" s="10"/>
      <c r="I452" s="10"/>
    </row>
    <row r="453" spans="1:9" x14ac:dyDescent="0.25">
      <c r="A453" s="8" t="s">
        <v>2608</v>
      </c>
      <c r="B453" s="7">
        <v>1</v>
      </c>
      <c r="C453" s="8" t="s">
        <v>1619</v>
      </c>
      <c r="D453" s="8" t="s">
        <v>1628</v>
      </c>
      <c r="E453" s="8" t="s">
        <v>1606</v>
      </c>
    </row>
    <row r="454" spans="1:9" x14ac:dyDescent="0.25">
      <c r="A454" s="8" t="s">
        <v>2608</v>
      </c>
      <c r="B454" s="7">
        <v>2</v>
      </c>
      <c r="C454" s="8" t="s">
        <v>1620</v>
      </c>
      <c r="D454" s="8" t="s">
        <v>1629</v>
      </c>
      <c r="E454" s="8" t="s">
        <v>1607</v>
      </c>
    </row>
    <row r="455" spans="1:9" x14ac:dyDescent="0.25">
      <c r="A455" s="8" t="s">
        <v>2608</v>
      </c>
      <c r="B455" s="7">
        <v>3</v>
      </c>
      <c r="C455" s="8" t="s">
        <v>1621</v>
      </c>
      <c r="D455" s="8" t="s">
        <v>1630</v>
      </c>
      <c r="E455" s="8" t="s">
        <v>1608</v>
      </c>
    </row>
    <row r="456" spans="1:9" x14ac:dyDescent="0.25">
      <c r="A456" s="8" t="s">
        <v>2608</v>
      </c>
      <c r="B456" s="7">
        <v>4</v>
      </c>
      <c r="C456" s="8" t="s">
        <v>1622</v>
      </c>
      <c r="D456" s="8" t="s">
        <v>1631</v>
      </c>
      <c r="E456" s="8" t="s">
        <v>1609</v>
      </c>
    </row>
    <row r="457" spans="1:9" x14ac:dyDescent="0.25">
      <c r="A457" s="8" t="s">
        <v>2608</v>
      </c>
      <c r="B457" s="7">
        <v>5</v>
      </c>
      <c r="C457" s="8" t="s">
        <v>151</v>
      </c>
      <c r="D457" s="7" t="s">
        <v>1632</v>
      </c>
      <c r="E457" s="7" t="s">
        <v>1610</v>
      </c>
    </row>
    <row r="458" spans="1:9" x14ac:dyDescent="0.25">
      <c r="A458" s="8" t="s">
        <v>2608</v>
      </c>
      <c r="B458" s="7">
        <v>6</v>
      </c>
      <c r="C458" s="8" t="s">
        <v>150</v>
      </c>
      <c r="D458" s="7" t="s">
        <v>1633</v>
      </c>
      <c r="E458" s="7" t="s">
        <v>1611</v>
      </c>
    </row>
    <row r="459" spans="1:9" x14ac:dyDescent="0.25">
      <c r="A459" s="8" t="s">
        <v>2608</v>
      </c>
      <c r="B459" s="7">
        <v>7</v>
      </c>
      <c r="C459" s="8" t="s">
        <v>1623</v>
      </c>
      <c r="D459" s="7" t="s">
        <v>1634</v>
      </c>
      <c r="E459" s="7" t="s">
        <v>1612</v>
      </c>
    </row>
    <row r="460" spans="1:9" x14ac:dyDescent="0.25">
      <c r="A460" s="8" t="s">
        <v>2608</v>
      </c>
      <c r="B460" s="7">
        <v>8</v>
      </c>
      <c r="C460" s="8" t="s">
        <v>1624</v>
      </c>
      <c r="D460" s="7" t="s">
        <v>3307</v>
      </c>
      <c r="E460" s="7" t="s">
        <v>3308</v>
      </c>
    </row>
    <row r="461" spans="1:9" x14ac:dyDescent="0.25">
      <c r="A461" s="8" t="s">
        <v>2608</v>
      </c>
      <c r="B461" s="7">
        <v>9</v>
      </c>
      <c r="C461" s="8" t="s">
        <v>147</v>
      </c>
      <c r="D461" s="7" t="s">
        <v>148</v>
      </c>
      <c r="E461" s="7" t="s">
        <v>1613</v>
      </c>
    </row>
    <row r="462" spans="1:9" x14ac:dyDescent="0.25">
      <c r="A462" s="8" t="s">
        <v>2608</v>
      </c>
      <c r="B462" s="7">
        <v>10</v>
      </c>
      <c r="C462" s="8" t="s">
        <v>1625</v>
      </c>
      <c r="D462" s="7" t="s">
        <v>1635</v>
      </c>
      <c r="E462" s="7" t="s">
        <v>1614</v>
      </c>
    </row>
    <row r="463" spans="1:9" x14ac:dyDescent="0.25">
      <c r="A463" s="8" t="s">
        <v>2608</v>
      </c>
      <c r="B463" s="7">
        <v>11</v>
      </c>
      <c r="C463" s="8" t="s">
        <v>152</v>
      </c>
      <c r="D463" s="7" t="s">
        <v>1636</v>
      </c>
      <c r="E463" s="7" t="s">
        <v>1615</v>
      </c>
    </row>
    <row r="464" spans="1:9" x14ac:dyDescent="0.25">
      <c r="A464" s="8" t="s">
        <v>2608</v>
      </c>
      <c r="B464" s="7">
        <v>12</v>
      </c>
      <c r="C464" s="8" t="s">
        <v>1626</v>
      </c>
      <c r="D464" s="7" t="s">
        <v>1637</v>
      </c>
      <c r="E464" s="7" t="s">
        <v>1616</v>
      </c>
    </row>
    <row r="465" spans="1:9" x14ac:dyDescent="0.25">
      <c r="A465" s="8" t="s">
        <v>2608</v>
      </c>
      <c r="B465" s="7">
        <v>13</v>
      </c>
      <c r="C465" s="8" t="s">
        <v>676</v>
      </c>
      <c r="D465" s="7" t="s">
        <v>149</v>
      </c>
      <c r="E465" s="7" t="s">
        <v>1617</v>
      </c>
    </row>
    <row r="466" spans="1:9" x14ac:dyDescent="0.25">
      <c r="A466" s="8" t="s">
        <v>2608</v>
      </c>
      <c r="B466" s="7">
        <v>96</v>
      </c>
      <c r="C466" s="8" t="s">
        <v>1627</v>
      </c>
      <c r="D466" s="7" t="s">
        <v>1638</v>
      </c>
      <c r="E466" s="7" t="s">
        <v>1618</v>
      </c>
    </row>
    <row r="467" spans="1:9" x14ac:dyDescent="0.25">
      <c r="A467" s="10"/>
      <c r="B467" s="9"/>
      <c r="C467" s="10"/>
      <c r="D467" s="10"/>
      <c r="E467" s="17"/>
      <c r="F467" s="9"/>
      <c r="G467" s="10"/>
      <c r="H467" s="10"/>
      <c r="I467" s="10"/>
    </row>
    <row r="468" spans="1:9" x14ac:dyDescent="0.25">
      <c r="A468" s="8" t="s">
        <v>2650</v>
      </c>
      <c r="B468" s="7">
        <v>1</v>
      </c>
      <c r="C468" s="8" t="s">
        <v>2651</v>
      </c>
      <c r="D468" s="8" t="s">
        <v>2658</v>
      </c>
      <c r="E468" s="8" t="s">
        <v>1665</v>
      </c>
      <c r="F468" s="7"/>
    </row>
    <row r="469" spans="1:9" x14ac:dyDescent="0.25">
      <c r="A469" s="8" t="s">
        <v>2650</v>
      </c>
      <c r="B469" s="7">
        <v>2</v>
      </c>
      <c r="C469" s="8" t="s">
        <v>2652</v>
      </c>
      <c r="D469" s="8" t="s">
        <v>1666</v>
      </c>
      <c r="E469" s="8" t="s">
        <v>1666</v>
      </c>
      <c r="F469" s="7"/>
    </row>
    <row r="470" spans="1:9" x14ac:dyDescent="0.25">
      <c r="A470" s="8" t="s">
        <v>2650</v>
      </c>
      <c r="B470" s="7">
        <v>3</v>
      </c>
      <c r="C470" s="8" t="s">
        <v>2653</v>
      </c>
      <c r="D470" s="8" t="s">
        <v>2659</v>
      </c>
      <c r="E470" s="8" t="s">
        <v>1667</v>
      </c>
      <c r="F470" s="7"/>
    </row>
    <row r="471" spans="1:9" x14ac:dyDescent="0.25">
      <c r="A471" s="8" t="s">
        <v>2650</v>
      </c>
      <c r="B471" s="7">
        <v>4</v>
      </c>
      <c r="C471" s="8" t="s">
        <v>2654</v>
      </c>
      <c r="D471" s="8" t="s">
        <v>2660</v>
      </c>
      <c r="E471" s="8" t="s">
        <v>1668</v>
      </c>
      <c r="F471" s="7"/>
    </row>
    <row r="472" spans="1:9" x14ac:dyDescent="0.25">
      <c r="A472" s="8" t="s">
        <v>2650</v>
      </c>
      <c r="B472" s="7">
        <v>5</v>
      </c>
      <c r="C472" s="8" t="s">
        <v>2655</v>
      </c>
      <c r="D472" s="8" t="s">
        <v>2661</v>
      </c>
      <c r="E472" s="8" t="s">
        <v>1669</v>
      </c>
      <c r="F472" s="7"/>
    </row>
    <row r="473" spans="1:9" x14ac:dyDescent="0.25">
      <c r="A473" s="8" t="s">
        <v>2650</v>
      </c>
      <c r="B473" s="7">
        <v>6</v>
      </c>
      <c r="C473" s="8" t="s">
        <v>2656</v>
      </c>
      <c r="D473" s="8" t="s">
        <v>2662</v>
      </c>
      <c r="E473" s="8" t="s">
        <v>1670</v>
      </c>
      <c r="F473" s="7"/>
    </row>
    <row r="474" spans="1:9" x14ac:dyDescent="0.25">
      <c r="A474" s="8" t="s">
        <v>2650</v>
      </c>
      <c r="B474" s="7">
        <v>7</v>
      </c>
      <c r="C474" s="8" t="s">
        <v>2657</v>
      </c>
      <c r="D474" s="8" t="s">
        <v>2663</v>
      </c>
      <c r="E474" s="8" t="s">
        <v>1671</v>
      </c>
      <c r="F474" s="7"/>
    </row>
    <row r="475" spans="1:9" x14ac:dyDescent="0.25">
      <c r="A475" s="8" t="s">
        <v>2650</v>
      </c>
      <c r="B475" s="8">
        <v>96</v>
      </c>
      <c r="C475" s="8" t="s">
        <v>2370</v>
      </c>
      <c r="D475" s="8" t="s">
        <v>2317</v>
      </c>
      <c r="E475" s="8" t="s">
        <v>1219</v>
      </c>
      <c r="F475" s="7"/>
    </row>
    <row r="476" spans="1:9" x14ac:dyDescent="0.25">
      <c r="A476" s="10"/>
      <c r="B476" s="9"/>
      <c r="C476" s="10"/>
      <c r="D476" s="9"/>
      <c r="E476" s="17"/>
      <c r="F476" s="10"/>
      <c r="G476" s="10"/>
      <c r="H476" s="10"/>
      <c r="I476" s="10"/>
    </row>
    <row r="477" spans="1:9" x14ac:dyDescent="0.25">
      <c r="A477" s="8" t="s">
        <v>2688</v>
      </c>
      <c r="B477" s="8">
        <v>1</v>
      </c>
      <c r="C477" s="8" t="s">
        <v>1679</v>
      </c>
      <c r="D477" s="8" t="s">
        <v>1681</v>
      </c>
      <c r="E477" s="8" t="s">
        <v>1359</v>
      </c>
    </row>
    <row r="478" spans="1:9" x14ac:dyDescent="0.25">
      <c r="A478" s="8" t="s">
        <v>2688</v>
      </c>
      <c r="B478" s="8">
        <v>2</v>
      </c>
      <c r="C478" s="8">
        <v>2</v>
      </c>
      <c r="D478" s="8">
        <v>2</v>
      </c>
      <c r="E478" s="8">
        <v>2</v>
      </c>
    </row>
    <row r="479" spans="1:9" x14ac:dyDescent="0.25">
      <c r="A479" s="8" t="s">
        <v>2688</v>
      </c>
      <c r="B479" s="8">
        <v>3</v>
      </c>
      <c r="C479" s="8">
        <v>3</v>
      </c>
      <c r="D479" s="8">
        <v>3</v>
      </c>
      <c r="E479" s="8">
        <v>3</v>
      </c>
    </row>
    <row r="480" spans="1:9" x14ac:dyDescent="0.25">
      <c r="A480" s="8" t="s">
        <v>2688</v>
      </c>
      <c r="B480" s="8">
        <v>4</v>
      </c>
      <c r="C480" s="8">
        <v>4</v>
      </c>
      <c r="D480" s="8">
        <v>4</v>
      </c>
      <c r="E480" s="8">
        <v>4</v>
      </c>
    </row>
    <row r="481" spans="1:9" x14ac:dyDescent="0.25">
      <c r="A481" s="8" t="s">
        <v>2688</v>
      </c>
      <c r="B481" s="8">
        <v>5</v>
      </c>
      <c r="C481" s="8" t="s">
        <v>1680</v>
      </c>
      <c r="D481" s="8" t="s">
        <v>1682</v>
      </c>
      <c r="E481" s="8" t="s">
        <v>1683</v>
      </c>
    </row>
    <row r="482" spans="1:9" x14ac:dyDescent="0.25">
      <c r="A482" s="10"/>
      <c r="B482" s="10"/>
      <c r="C482" s="10"/>
      <c r="D482" s="10"/>
      <c r="E482" s="10"/>
      <c r="F482" s="10"/>
      <c r="G482" s="10"/>
      <c r="H482" s="10"/>
      <c r="I482" s="10"/>
    </row>
    <row r="483" spans="1:9" x14ac:dyDescent="0.25">
      <c r="A483" s="8" t="s">
        <v>2689</v>
      </c>
      <c r="B483" s="8">
        <v>1</v>
      </c>
      <c r="C483" s="8" t="s">
        <v>633</v>
      </c>
      <c r="D483" s="8" t="s">
        <v>637</v>
      </c>
      <c r="E483" s="8" t="s">
        <v>637</v>
      </c>
    </row>
    <row r="484" spans="1:9" x14ac:dyDescent="0.25">
      <c r="A484" s="8" t="s">
        <v>2689</v>
      </c>
      <c r="B484" s="8">
        <v>2</v>
      </c>
      <c r="C484" s="8" t="s">
        <v>743</v>
      </c>
      <c r="D484" s="8" t="s">
        <v>744</v>
      </c>
      <c r="E484" s="8" t="s">
        <v>1703</v>
      </c>
    </row>
    <row r="485" spans="1:9" x14ac:dyDescent="0.25">
      <c r="A485" s="8" t="s">
        <v>2689</v>
      </c>
      <c r="B485" s="8">
        <v>3</v>
      </c>
      <c r="C485" s="8" t="s">
        <v>634</v>
      </c>
      <c r="D485" s="8" t="s">
        <v>638</v>
      </c>
      <c r="E485" s="8" t="s">
        <v>638</v>
      </c>
    </row>
    <row r="486" spans="1:9" x14ac:dyDescent="0.25">
      <c r="A486" s="8" t="s">
        <v>2689</v>
      </c>
      <c r="B486" s="8">
        <v>4</v>
      </c>
      <c r="C486" s="8" t="s">
        <v>635</v>
      </c>
      <c r="D486" s="8" t="s">
        <v>639</v>
      </c>
      <c r="E486" s="8" t="s">
        <v>1704</v>
      </c>
    </row>
    <row r="487" spans="1:9" x14ac:dyDescent="0.25">
      <c r="A487" s="8" t="s">
        <v>2689</v>
      </c>
      <c r="B487" s="8">
        <v>5</v>
      </c>
      <c r="C487" s="8" t="s">
        <v>636</v>
      </c>
      <c r="D487" s="8" t="s">
        <v>745</v>
      </c>
      <c r="E487" s="8" t="s">
        <v>1705</v>
      </c>
    </row>
    <row r="488" spans="1:9" x14ac:dyDescent="0.25">
      <c r="A488" s="8" t="s">
        <v>2689</v>
      </c>
      <c r="B488" s="8">
        <v>6</v>
      </c>
      <c r="C488" s="8" t="s">
        <v>746</v>
      </c>
      <c r="D488" s="8" t="s">
        <v>747</v>
      </c>
      <c r="E488" s="8" t="s">
        <v>1706</v>
      </c>
    </row>
    <row r="489" spans="1:9" x14ac:dyDescent="0.25">
      <c r="A489" s="8" t="s">
        <v>2689</v>
      </c>
      <c r="B489" s="8">
        <v>7</v>
      </c>
      <c r="C489" s="8" t="s">
        <v>748</v>
      </c>
      <c r="D489" s="8" t="s">
        <v>749</v>
      </c>
      <c r="E489" s="8" t="s">
        <v>1707</v>
      </c>
    </row>
    <row r="490" spans="1:9" x14ac:dyDescent="0.25">
      <c r="A490" s="8" t="s">
        <v>2689</v>
      </c>
      <c r="B490" s="8">
        <v>96</v>
      </c>
      <c r="C490" s="8" t="s">
        <v>140</v>
      </c>
      <c r="D490" s="8" t="s">
        <v>153</v>
      </c>
      <c r="E490" s="8" t="s">
        <v>1708</v>
      </c>
    </row>
    <row r="491" spans="1:9" x14ac:dyDescent="0.25">
      <c r="A491" s="8" t="s">
        <v>2689</v>
      </c>
      <c r="B491" s="8">
        <v>99</v>
      </c>
      <c r="C491" s="8" t="s">
        <v>654</v>
      </c>
      <c r="D491" s="8" t="s">
        <v>655</v>
      </c>
      <c r="E491" s="8" t="s">
        <v>1709</v>
      </c>
    </row>
    <row r="492" spans="1:9" x14ac:dyDescent="0.25">
      <c r="A492" s="10"/>
      <c r="B492" s="10"/>
      <c r="C492" s="10"/>
      <c r="D492" s="10"/>
      <c r="E492" s="10"/>
      <c r="F492" s="10"/>
      <c r="G492" s="10"/>
      <c r="H492" s="10"/>
      <c r="I492" s="10"/>
    </row>
    <row r="493" spans="1:9" x14ac:dyDescent="0.25">
      <c r="A493" s="8" t="s">
        <v>2690</v>
      </c>
      <c r="B493" s="8">
        <v>1</v>
      </c>
      <c r="C493" s="8" t="s">
        <v>640</v>
      </c>
      <c r="D493" s="8" t="s">
        <v>644</v>
      </c>
      <c r="E493" s="8" t="s">
        <v>1710</v>
      </c>
    </row>
    <row r="494" spans="1:9" x14ac:dyDescent="0.25">
      <c r="A494" s="8" t="s">
        <v>2690</v>
      </c>
      <c r="B494" s="8">
        <v>2</v>
      </c>
      <c r="C494" s="8" t="s">
        <v>641</v>
      </c>
      <c r="D494" s="8" t="s">
        <v>645</v>
      </c>
      <c r="E494" s="8" t="s">
        <v>1711</v>
      </c>
    </row>
    <row r="495" spans="1:9" x14ac:dyDescent="0.25">
      <c r="A495" s="8" t="s">
        <v>2690</v>
      </c>
      <c r="B495" s="8">
        <v>3</v>
      </c>
      <c r="C495" s="8" t="s">
        <v>642</v>
      </c>
      <c r="D495" s="8" t="s">
        <v>664</v>
      </c>
      <c r="E495" s="8" t="s">
        <v>1712</v>
      </c>
    </row>
    <row r="496" spans="1:9" x14ac:dyDescent="0.25">
      <c r="A496" s="8" t="s">
        <v>2690</v>
      </c>
      <c r="B496" s="8">
        <v>4</v>
      </c>
      <c r="C496" s="8" t="s">
        <v>643</v>
      </c>
      <c r="D496" s="8" t="s">
        <v>665</v>
      </c>
      <c r="E496" s="8" t="s">
        <v>1713</v>
      </c>
    </row>
    <row r="497" spans="1:9" x14ac:dyDescent="0.25">
      <c r="A497" s="10"/>
      <c r="B497" s="10"/>
      <c r="C497" s="10"/>
      <c r="D497" s="10"/>
      <c r="E497" s="10"/>
      <c r="F497" s="10"/>
      <c r="G497" s="10"/>
      <c r="H497" s="10"/>
      <c r="I497" s="10"/>
    </row>
    <row r="498" spans="1:9" x14ac:dyDescent="0.25">
      <c r="A498" s="8" t="s">
        <v>2691</v>
      </c>
      <c r="B498" s="8">
        <v>1</v>
      </c>
      <c r="C498" s="8" t="s">
        <v>646</v>
      </c>
      <c r="D498" s="8" t="s">
        <v>666</v>
      </c>
      <c r="E498" s="8" t="s">
        <v>1714</v>
      </c>
    </row>
    <row r="499" spans="1:9" x14ac:dyDescent="0.25">
      <c r="A499" s="8" t="s">
        <v>2691</v>
      </c>
      <c r="B499" s="8">
        <v>2</v>
      </c>
      <c r="C499" s="8" t="s">
        <v>2692</v>
      </c>
      <c r="D499" s="8" t="s">
        <v>750</v>
      </c>
      <c r="E499" s="8" t="s">
        <v>1715</v>
      </c>
    </row>
    <row r="500" spans="1:9" x14ac:dyDescent="0.25">
      <c r="A500" s="8" t="s">
        <v>2691</v>
      </c>
      <c r="B500" s="8">
        <v>3</v>
      </c>
      <c r="C500" s="8" t="s">
        <v>647</v>
      </c>
      <c r="D500" s="8" t="s">
        <v>667</v>
      </c>
      <c r="E500" s="8" t="s">
        <v>1716</v>
      </c>
    </row>
    <row r="501" spans="1:9" x14ac:dyDescent="0.25">
      <c r="A501" s="8" t="s">
        <v>2691</v>
      </c>
      <c r="B501" s="8">
        <v>4</v>
      </c>
      <c r="C501" s="8" t="s">
        <v>648</v>
      </c>
      <c r="D501" s="8" t="s">
        <v>751</v>
      </c>
      <c r="E501" s="8" t="s">
        <v>1717</v>
      </c>
    </row>
    <row r="502" spans="1:9" x14ac:dyDescent="0.25">
      <c r="A502" s="8" t="s">
        <v>2691</v>
      </c>
      <c r="B502" s="8">
        <v>5</v>
      </c>
      <c r="C502" s="8" t="s">
        <v>649</v>
      </c>
      <c r="D502" s="8" t="s">
        <v>668</v>
      </c>
      <c r="E502" s="8" t="s">
        <v>1718</v>
      </c>
    </row>
    <row r="503" spans="1:9" x14ac:dyDescent="0.25">
      <c r="A503" s="8" t="s">
        <v>2691</v>
      </c>
      <c r="B503" s="8">
        <v>6</v>
      </c>
      <c r="C503" s="8" t="s">
        <v>650</v>
      </c>
      <c r="D503" s="8" t="s">
        <v>669</v>
      </c>
      <c r="E503" s="8" t="s">
        <v>1719</v>
      </c>
    </row>
    <row r="504" spans="1:9" x14ac:dyDescent="0.25">
      <c r="A504" s="8" t="s">
        <v>2691</v>
      </c>
      <c r="B504" s="8">
        <v>7</v>
      </c>
      <c r="C504" s="8" t="s">
        <v>651</v>
      </c>
      <c r="D504" s="8" t="s">
        <v>752</v>
      </c>
      <c r="E504" s="8" t="s">
        <v>1720</v>
      </c>
    </row>
    <row r="505" spans="1:9" x14ac:dyDescent="0.25">
      <c r="A505" s="8" t="s">
        <v>2691</v>
      </c>
      <c r="B505" s="8">
        <v>8</v>
      </c>
      <c r="C505" s="8" t="s">
        <v>652</v>
      </c>
      <c r="D505" s="8" t="s">
        <v>753</v>
      </c>
      <c r="E505" s="8" t="s">
        <v>3299</v>
      </c>
    </row>
    <row r="506" spans="1:9" x14ac:dyDescent="0.25">
      <c r="A506" s="8" t="s">
        <v>2691</v>
      </c>
      <c r="B506" s="8">
        <v>9</v>
      </c>
      <c r="C506" s="8" t="s">
        <v>754</v>
      </c>
      <c r="D506" s="8" t="s">
        <v>755</v>
      </c>
      <c r="E506" s="8" t="s">
        <v>3300</v>
      </c>
    </row>
    <row r="507" spans="1:9" x14ac:dyDescent="0.25">
      <c r="A507" s="8" t="s">
        <v>2691</v>
      </c>
      <c r="B507" s="8">
        <v>96</v>
      </c>
      <c r="C507" s="8" t="s">
        <v>140</v>
      </c>
      <c r="D507" s="8" t="s">
        <v>653</v>
      </c>
      <c r="E507" s="8" t="s">
        <v>1158</v>
      </c>
    </row>
    <row r="508" spans="1:9" x14ac:dyDescent="0.25">
      <c r="A508" s="10"/>
      <c r="B508" s="10"/>
      <c r="C508" s="10"/>
      <c r="D508" s="10"/>
      <c r="E508" s="10"/>
      <c r="F508" s="10"/>
      <c r="G508" s="10"/>
      <c r="H508" s="10"/>
      <c r="I508" s="10"/>
    </row>
    <row r="509" spans="1:9" x14ac:dyDescent="0.25">
      <c r="A509" s="8" t="s">
        <v>2693</v>
      </c>
      <c r="B509" s="8">
        <v>1</v>
      </c>
      <c r="C509" s="8" t="s">
        <v>81</v>
      </c>
      <c r="D509" s="8" t="s">
        <v>82</v>
      </c>
      <c r="E509" s="8" t="s">
        <v>1020</v>
      </c>
    </row>
    <row r="510" spans="1:9" x14ac:dyDescent="0.25">
      <c r="A510" s="8" t="s">
        <v>2693</v>
      </c>
      <c r="B510" s="8">
        <v>2</v>
      </c>
      <c r="C510" s="8" t="s">
        <v>83</v>
      </c>
      <c r="D510" s="8" t="s">
        <v>84</v>
      </c>
      <c r="E510" s="8" t="s">
        <v>1021</v>
      </c>
    </row>
    <row r="511" spans="1:9" x14ac:dyDescent="0.25">
      <c r="A511" s="8" t="s">
        <v>2693</v>
      </c>
      <c r="B511" s="8">
        <v>3</v>
      </c>
      <c r="C511" s="8" t="s">
        <v>654</v>
      </c>
      <c r="D511" s="8" t="s">
        <v>655</v>
      </c>
      <c r="E511" s="8" t="s">
        <v>1709</v>
      </c>
    </row>
    <row r="512" spans="1:9" x14ac:dyDescent="0.25">
      <c r="A512" s="10"/>
      <c r="B512" s="10"/>
      <c r="C512" s="10"/>
      <c r="D512" s="10"/>
      <c r="E512" s="10"/>
      <c r="F512" s="10"/>
      <c r="G512" s="10"/>
      <c r="H512" s="10"/>
      <c r="I512" s="10"/>
    </row>
    <row r="513" spans="1:9" x14ac:dyDescent="0.25">
      <c r="A513" s="8" t="s">
        <v>2694</v>
      </c>
      <c r="B513" s="8">
        <v>1</v>
      </c>
      <c r="C513" s="8" t="s">
        <v>656</v>
      </c>
      <c r="D513" s="8" t="s">
        <v>660</v>
      </c>
      <c r="E513" s="8" t="s">
        <v>1721</v>
      </c>
    </row>
    <row r="514" spans="1:9" x14ac:dyDescent="0.25">
      <c r="A514" s="8" t="s">
        <v>2694</v>
      </c>
      <c r="B514" s="8">
        <v>2</v>
      </c>
      <c r="C514" s="8" t="s">
        <v>657</v>
      </c>
      <c r="D514" s="8" t="s">
        <v>661</v>
      </c>
      <c r="E514" s="8" t="s">
        <v>1722</v>
      </c>
    </row>
    <row r="515" spans="1:9" x14ac:dyDescent="0.25">
      <c r="A515" s="8" t="s">
        <v>2694</v>
      </c>
      <c r="B515" s="8">
        <v>3</v>
      </c>
      <c r="C515" s="8" t="s">
        <v>658</v>
      </c>
      <c r="D515" s="8" t="s">
        <v>662</v>
      </c>
      <c r="E515" s="8" t="s">
        <v>1723</v>
      </c>
    </row>
    <row r="516" spans="1:9" x14ac:dyDescent="0.25">
      <c r="A516" s="8" t="s">
        <v>2694</v>
      </c>
      <c r="B516" s="8">
        <v>4</v>
      </c>
      <c r="C516" s="8" t="s">
        <v>659</v>
      </c>
      <c r="D516" s="8" t="s">
        <v>663</v>
      </c>
      <c r="E516" s="8" t="s">
        <v>1724</v>
      </c>
    </row>
    <row r="517" spans="1:9" x14ac:dyDescent="0.25">
      <c r="A517" s="8" t="s">
        <v>2694</v>
      </c>
      <c r="B517" s="8">
        <v>5</v>
      </c>
      <c r="C517" s="8" t="s">
        <v>654</v>
      </c>
      <c r="D517" s="8" t="s">
        <v>655</v>
      </c>
      <c r="E517" s="8" t="s">
        <v>1709</v>
      </c>
    </row>
    <row r="518" spans="1:9" x14ac:dyDescent="0.25">
      <c r="A518" s="10"/>
      <c r="B518" s="10"/>
      <c r="C518" s="10"/>
      <c r="D518" s="10"/>
      <c r="E518" s="10"/>
      <c r="F518" s="10"/>
      <c r="G518" s="10"/>
      <c r="H518" s="10"/>
      <c r="I518" s="10"/>
    </row>
    <row r="519" spans="1:9" x14ac:dyDescent="0.25">
      <c r="A519" s="8" t="s">
        <v>2695</v>
      </c>
      <c r="B519" s="7">
        <v>1</v>
      </c>
      <c r="C519" s="8" t="s">
        <v>2696</v>
      </c>
      <c r="D519" s="8" t="s">
        <v>2698</v>
      </c>
      <c r="E519" s="8" t="s">
        <v>1725</v>
      </c>
    </row>
    <row r="520" spans="1:9" x14ac:dyDescent="0.25">
      <c r="A520" s="8" t="s">
        <v>2695</v>
      </c>
      <c r="B520" s="7">
        <v>2</v>
      </c>
      <c r="C520" s="8" t="s">
        <v>2697</v>
      </c>
      <c r="D520" s="8" t="s">
        <v>2699</v>
      </c>
      <c r="E520" s="8" t="s">
        <v>1726</v>
      </c>
    </row>
    <row r="521" spans="1:9" x14ac:dyDescent="0.25">
      <c r="A521" s="8" t="s">
        <v>2695</v>
      </c>
      <c r="B521" s="7">
        <v>3</v>
      </c>
      <c r="C521" s="8" t="s">
        <v>674</v>
      </c>
      <c r="D521" s="8" t="s">
        <v>685</v>
      </c>
      <c r="E521" s="8" t="s">
        <v>1727</v>
      </c>
    </row>
    <row r="522" spans="1:9" x14ac:dyDescent="0.25">
      <c r="A522" s="8" t="s">
        <v>2695</v>
      </c>
      <c r="B522" s="7">
        <v>4</v>
      </c>
      <c r="C522" s="8" t="s">
        <v>65</v>
      </c>
      <c r="D522" s="8" t="s">
        <v>228</v>
      </c>
      <c r="E522" s="8" t="s">
        <v>1728</v>
      </c>
    </row>
    <row r="523" spans="1:9" x14ac:dyDescent="0.25">
      <c r="A523" s="8" t="s">
        <v>2695</v>
      </c>
      <c r="B523" s="7">
        <v>5</v>
      </c>
      <c r="C523" s="8" t="s">
        <v>677</v>
      </c>
      <c r="D523" s="8" t="s">
        <v>686</v>
      </c>
      <c r="E523" s="8" t="s">
        <v>1729</v>
      </c>
    </row>
    <row r="524" spans="1:9" x14ac:dyDescent="0.25">
      <c r="A524" s="8" t="s">
        <v>2695</v>
      </c>
      <c r="B524" s="7">
        <v>6</v>
      </c>
      <c r="C524" s="8" t="s">
        <v>678</v>
      </c>
      <c r="D524" s="8" t="s">
        <v>689</v>
      </c>
      <c r="E524" s="8" t="s">
        <v>684</v>
      </c>
    </row>
    <row r="525" spans="1:9" x14ac:dyDescent="0.25">
      <c r="A525" s="8" t="s">
        <v>2695</v>
      </c>
      <c r="B525" s="7">
        <v>7</v>
      </c>
      <c r="C525" s="8" t="s">
        <v>679</v>
      </c>
      <c r="D525" s="8" t="s">
        <v>687</v>
      </c>
      <c r="E525" s="8" t="s">
        <v>1730</v>
      </c>
    </row>
    <row r="526" spans="1:9" x14ac:dyDescent="0.25">
      <c r="A526" s="8" t="s">
        <v>2695</v>
      </c>
      <c r="B526" s="7">
        <v>8</v>
      </c>
      <c r="C526" s="8" t="s">
        <v>680</v>
      </c>
      <c r="D526" s="8" t="s">
        <v>688</v>
      </c>
      <c r="E526" s="8" t="s">
        <v>1731</v>
      </c>
    </row>
    <row r="527" spans="1:9" x14ac:dyDescent="0.25">
      <c r="A527" s="8" t="s">
        <v>2695</v>
      </c>
      <c r="B527" s="7">
        <v>96</v>
      </c>
      <c r="C527" s="8" t="s">
        <v>78</v>
      </c>
      <c r="D527" s="8" t="s">
        <v>683</v>
      </c>
      <c r="E527" s="8" t="s">
        <v>1006</v>
      </c>
    </row>
    <row r="528" spans="1:9" x14ac:dyDescent="0.25">
      <c r="A528" s="10"/>
      <c r="B528" s="10"/>
      <c r="C528" s="10"/>
      <c r="D528" s="10"/>
      <c r="E528" s="10"/>
      <c r="F528" s="10"/>
      <c r="G528" s="10"/>
      <c r="H528" s="10"/>
      <c r="I528" s="10"/>
    </row>
    <row r="529" spans="1:9" x14ac:dyDescent="0.25">
      <c r="A529" s="8" t="s">
        <v>2700</v>
      </c>
      <c r="B529" s="8">
        <v>1</v>
      </c>
      <c r="C529" s="8" t="s">
        <v>2701</v>
      </c>
      <c r="D529" s="8" t="s">
        <v>2707</v>
      </c>
      <c r="E529" s="8" t="s">
        <v>1732</v>
      </c>
    </row>
    <row r="530" spans="1:9" x14ac:dyDescent="0.25">
      <c r="A530" s="8" t="s">
        <v>2700</v>
      </c>
      <c r="B530" s="8">
        <v>2</v>
      </c>
      <c r="C530" s="8" t="s">
        <v>2702</v>
      </c>
      <c r="D530" s="8" t="s">
        <v>2708</v>
      </c>
      <c r="E530" s="8" t="s">
        <v>1733</v>
      </c>
    </row>
    <row r="531" spans="1:9" x14ac:dyDescent="0.25">
      <c r="A531" s="8" t="s">
        <v>2700</v>
      </c>
      <c r="B531" s="8">
        <v>3</v>
      </c>
      <c r="C531" s="8" t="s">
        <v>2703</v>
      </c>
      <c r="D531" s="8" t="s">
        <v>2709</v>
      </c>
      <c r="E531" s="8" t="s">
        <v>1142</v>
      </c>
    </row>
    <row r="532" spans="1:9" x14ac:dyDescent="0.25">
      <c r="A532" s="8" t="s">
        <v>2700</v>
      </c>
      <c r="B532" s="8">
        <v>4</v>
      </c>
      <c r="C532" s="8" t="s">
        <v>2704</v>
      </c>
      <c r="D532" s="8" t="s">
        <v>2710</v>
      </c>
      <c r="E532" s="8" t="s">
        <v>1734</v>
      </c>
    </row>
    <row r="533" spans="1:9" x14ac:dyDescent="0.25">
      <c r="A533" s="8" t="s">
        <v>2700</v>
      </c>
      <c r="B533" s="8">
        <v>5</v>
      </c>
      <c r="C533" s="8" t="s">
        <v>2705</v>
      </c>
      <c r="D533" s="8" t="s">
        <v>2711</v>
      </c>
      <c r="E533" s="8" t="s">
        <v>1143</v>
      </c>
    </row>
    <row r="534" spans="1:9" x14ac:dyDescent="0.25">
      <c r="A534" s="8" t="s">
        <v>2700</v>
      </c>
      <c r="B534" s="8">
        <v>6</v>
      </c>
      <c r="C534" s="8" t="s">
        <v>2706</v>
      </c>
      <c r="D534" s="8" t="s">
        <v>2712</v>
      </c>
      <c r="E534" s="8" t="s">
        <v>1735</v>
      </c>
    </row>
    <row r="535" spans="1:9" x14ac:dyDescent="0.25">
      <c r="A535" s="10"/>
      <c r="B535" s="10"/>
      <c r="C535" s="10"/>
      <c r="D535" s="10"/>
      <c r="E535" s="10"/>
      <c r="F535" s="10"/>
      <c r="G535" s="10"/>
      <c r="H535" s="10"/>
      <c r="I535" s="10"/>
    </row>
    <row r="536" spans="1:9" x14ac:dyDescent="0.25">
      <c r="A536" s="8" t="s">
        <v>2713</v>
      </c>
      <c r="B536" s="8">
        <v>1</v>
      </c>
      <c r="C536" s="8" t="s">
        <v>2714</v>
      </c>
      <c r="D536" s="8" t="s">
        <v>2718</v>
      </c>
      <c r="E536" s="8" t="s">
        <v>1736</v>
      </c>
    </row>
    <row r="537" spans="1:9" x14ac:dyDescent="0.25">
      <c r="A537" s="8" t="s">
        <v>2713</v>
      </c>
      <c r="B537" s="8">
        <v>2</v>
      </c>
      <c r="C537" s="8" t="s">
        <v>2715</v>
      </c>
      <c r="D537" s="8" t="s">
        <v>829</v>
      </c>
      <c r="E537" s="8" t="s">
        <v>1737</v>
      </c>
    </row>
    <row r="538" spans="1:9" x14ac:dyDescent="0.25">
      <c r="A538" s="8" t="s">
        <v>2713</v>
      </c>
      <c r="B538" s="8">
        <v>3</v>
      </c>
      <c r="C538" s="8" t="s">
        <v>823</v>
      </c>
      <c r="D538" s="8" t="s">
        <v>2719</v>
      </c>
      <c r="E538" s="8" t="s">
        <v>1738</v>
      </c>
    </row>
    <row r="539" spans="1:9" x14ac:dyDescent="0.25">
      <c r="A539" s="8" t="s">
        <v>2713</v>
      </c>
      <c r="B539" s="8">
        <v>4</v>
      </c>
      <c r="C539" s="8" t="s">
        <v>2716</v>
      </c>
      <c r="D539" s="8" t="s">
        <v>2720</v>
      </c>
      <c r="E539" s="8" t="s">
        <v>1739</v>
      </c>
    </row>
    <row r="540" spans="1:9" x14ac:dyDescent="0.25">
      <c r="A540" s="8" t="s">
        <v>2713</v>
      </c>
      <c r="B540" s="8">
        <v>5</v>
      </c>
      <c r="C540" s="8" t="s">
        <v>2717</v>
      </c>
      <c r="D540" s="8" t="s">
        <v>2721</v>
      </c>
      <c r="E540" s="8" t="s">
        <v>1740</v>
      </c>
    </row>
    <row r="541" spans="1:9" x14ac:dyDescent="0.25">
      <c r="A541" s="8" t="s">
        <v>2713</v>
      </c>
      <c r="B541" s="8">
        <v>6</v>
      </c>
      <c r="C541" s="8" t="s">
        <v>2706</v>
      </c>
      <c r="D541" s="8" t="s">
        <v>2712</v>
      </c>
      <c r="E541" s="8" t="s">
        <v>1741</v>
      </c>
    </row>
    <row r="542" spans="1:9" x14ac:dyDescent="0.25">
      <c r="A542" s="10"/>
      <c r="B542" s="10"/>
      <c r="C542" s="10"/>
      <c r="D542" s="10"/>
      <c r="E542" s="10"/>
      <c r="F542" s="10"/>
      <c r="G542" s="10"/>
      <c r="H542" s="10"/>
      <c r="I542" s="10"/>
    </row>
    <row r="543" spans="1:9" x14ac:dyDescent="0.25">
      <c r="A543" s="8" t="s">
        <v>2722</v>
      </c>
      <c r="B543" s="8">
        <v>1</v>
      </c>
      <c r="C543" s="8" t="s">
        <v>824</v>
      </c>
      <c r="D543" s="8" t="s">
        <v>2727</v>
      </c>
      <c r="E543" s="8" t="s">
        <v>1742</v>
      </c>
    </row>
    <row r="544" spans="1:9" x14ac:dyDescent="0.25">
      <c r="A544" s="8" t="s">
        <v>2722</v>
      </c>
      <c r="B544" s="8">
        <v>2</v>
      </c>
      <c r="C544" s="8" t="s">
        <v>2723</v>
      </c>
      <c r="D544" s="8" t="s">
        <v>2728</v>
      </c>
      <c r="E544" s="8" t="s">
        <v>1743</v>
      </c>
    </row>
    <row r="545" spans="1:9" x14ac:dyDescent="0.25">
      <c r="A545" s="8" t="s">
        <v>2722</v>
      </c>
      <c r="B545" s="8">
        <v>3</v>
      </c>
      <c r="C545" s="8" t="s">
        <v>825</v>
      </c>
      <c r="D545" s="8" t="s">
        <v>2729</v>
      </c>
      <c r="E545" s="8" t="s">
        <v>1744</v>
      </c>
    </row>
    <row r="546" spans="1:9" x14ac:dyDescent="0.25">
      <c r="A546" s="8" t="s">
        <v>2722</v>
      </c>
      <c r="B546" s="8">
        <v>4</v>
      </c>
      <c r="C546" s="8" t="s">
        <v>826</v>
      </c>
      <c r="D546" s="8" t="s">
        <v>2730</v>
      </c>
      <c r="E546" s="8" t="s">
        <v>1745</v>
      </c>
    </row>
    <row r="547" spans="1:9" x14ac:dyDescent="0.25">
      <c r="A547" s="8" t="s">
        <v>2722</v>
      </c>
      <c r="B547" s="8">
        <v>5</v>
      </c>
      <c r="C547" s="8" t="s">
        <v>2724</v>
      </c>
      <c r="D547" s="8" t="s">
        <v>2731</v>
      </c>
      <c r="E547" s="8" t="s">
        <v>1746</v>
      </c>
    </row>
    <row r="548" spans="1:9" x14ac:dyDescent="0.25">
      <c r="A548" s="8" t="s">
        <v>2722</v>
      </c>
      <c r="B548" s="8">
        <v>6</v>
      </c>
      <c r="C548" s="8" t="s">
        <v>827</v>
      </c>
      <c r="D548" s="8" t="s">
        <v>2732</v>
      </c>
      <c r="E548" s="8" t="s">
        <v>1747</v>
      </c>
    </row>
    <row r="549" spans="1:9" x14ac:dyDescent="0.25">
      <c r="A549" s="8" t="s">
        <v>2722</v>
      </c>
      <c r="B549" s="8">
        <v>7</v>
      </c>
      <c r="C549" s="8" t="s">
        <v>2725</v>
      </c>
      <c r="D549" s="8" t="s">
        <v>2733</v>
      </c>
      <c r="E549" s="8" t="s">
        <v>1748</v>
      </c>
    </row>
    <row r="550" spans="1:9" x14ac:dyDescent="0.25">
      <c r="A550" s="8" t="s">
        <v>2722</v>
      </c>
      <c r="B550" s="8">
        <v>8</v>
      </c>
      <c r="C550" s="8" t="s">
        <v>2726</v>
      </c>
      <c r="D550" s="8" t="s">
        <v>2734</v>
      </c>
      <c r="E550" s="8" t="s">
        <v>1749</v>
      </c>
    </row>
    <row r="551" spans="1:9" x14ac:dyDescent="0.25">
      <c r="A551" s="8" t="s">
        <v>2722</v>
      </c>
      <c r="B551" s="8">
        <v>9</v>
      </c>
      <c r="C551" s="8" t="s">
        <v>2706</v>
      </c>
      <c r="D551" s="8" t="s">
        <v>2712</v>
      </c>
      <c r="E551" s="8" t="s">
        <v>1741</v>
      </c>
    </row>
    <row r="552" spans="1:9" x14ac:dyDescent="0.25">
      <c r="A552" s="10"/>
      <c r="B552" s="10"/>
      <c r="C552" s="10"/>
      <c r="D552" s="10"/>
      <c r="E552" s="10"/>
      <c r="F552" s="10"/>
      <c r="G552" s="10"/>
      <c r="H552" s="10"/>
      <c r="I552" s="10"/>
    </row>
    <row r="553" spans="1:9" x14ac:dyDescent="0.25">
      <c r="A553" s="8" t="s">
        <v>2735</v>
      </c>
      <c r="B553" s="8">
        <v>1</v>
      </c>
      <c r="C553" s="8" t="s">
        <v>2736</v>
      </c>
      <c r="D553" s="8" t="s">
        <v>2738</v>
      </c>
      <c r="E553" s="8" t="s">
        <v>1750</v>
      </c>
    </row>
    <row r="554" spans="1:9" x14ac:dyDescent="0.25">
      <c r="A554" s="8" t="s">
        <v>2735</v>
      </c>
      <c r="B554" s="8">
        <v>2</v>
      </c>
      <c r="C554" s="8">
        <v>2</v>
      </c>
      <c r="D554" s="8">
        <v>2</v>
      </c>
      <c r="E554" s="8">
        <v>2</v>
      </c>
    </row>
    <row r="555" spans="1:9" x14ac:dyDescent="0.25">
      <c r="A555" s="8" t="s">
        <v>2735</v>
      </c>
      <c r="B555" s="8">
        <v>3</v>
      </c>
      <c r="C555" s="8">
        <v>3</v>
      </c>
      <c r="D555" s="8">
        <v>3</v>
      </c>
      <c r="E555" s="8">
        <v>3</v>
      </c>
    </row>
    <row r="556" spans="1:9" x14ac:dyDescent="0.25">
      <c r="A556" s="8" t="s">
        <v>2735</v>
      </c>
      <c r="B556" s="8">
        <v>4</v>
      </c>
      <c r="C556" s="8">
        <v>4</v>
      </c>
      <c r="D556" s="8">
        <v>4</v>
      </c>
      <c r="E556" s="8">
        <v>4</v>
      </c>
    </row>
    <row r="557" spans="1:9" x14ac:dyDescent="0.25">
      <c r="A557" s="8" t="s">
        <v>2735</v>
      </c>
      <c r="B557" s="8">
        <v>5</v>
      </c>
      <c r="C557" s="8" t="s">
        <v>2737</v>
      </c>
      <c r="D557" s="8" t="s">
        <v>2739</v>
      </c>
      <c r="E557" s="8" t="s">
        <v>1751</v>
      </c>
    </row>
    <row r="558" spans="1:9" x14ac:dyDescent="0.25">
      <c r="A558" s="10"/>
      <c r="B558" s="10"/>
      <c r="C558" s="10"/>
      <c r="D558" s="10"/>
      <c r="E558" s="10"/>
      <c r="F558" s="10"/>
      <c r="G558" s="10"/>
      <c r="H558" s="10"/>
      <c r="I558" s="10"/>
    </row>
    <row r="559" spans="1:9" x14ac:dyDescent="0.25">
      <c r="A559" s="8" t="s">
        <v>2740</v>
      </c>
      <c r="B559" s="8">
        <v>1</v>
      </c>
      <c r="C559" s="8" t="s">
        <v>2741</v>
      </c>
      <c r="D559" s="8" t="s">
        <v>2743</v>
      </c>
      <c r="E559" s="8" t="s">
        <v>2745</v>
      </c>
    </row>
    <row r="560" spans="1:9" x14ac:dyDescent="0.25">
      <c r="A560" s="8" t="s">
        <v>2740</v>
      </c>
      <c r="B560" s="8">
        <v>2</v>
      </c>
      <c r="C560" s="8">
        <v>2</v>
      </c>
      <c r="D560" s="8">
        <v>2</v>
      </c>
      <c r="E560" s="8">
        <v>2</v>
      </c>
    </row>
    <row r="561" spans="1:9" x14ac:dyDescent="0.25">
      <c r="A561" s="8" t="s">
        <v>2740</v>
      </c>
      <c r="B561" s="8">
        <v>3</v>
      </c>
      <c r="C561" s="8">
        <v>3</v>
      </c>
      <c r="D561" s="8">
        <v>3</v>
      </c>
      <c r="E561" s="8">
        <v>3</v>
      </c>
    </row>
    <row r="562" spans="1:9" x14ac:dyDescent="0.25">
      <c r="A562" s="8" t="s">
        <v>2740</v>
      </c>
      <c r="B562" s="8">
        <v>4</v>
      </c>
      <c r="C562" s="8">
        <v>4</v>
      </c>
      <c r="D562" s="8">
        <v>4</v>
      </c>
      <c r="E562" s="8">
        <v>4</v>
      </c>
    </row>
    <row r="563" spans="1:9" x14ac:dyDescent="0.25">
      <c r="A563" s="8" t="s">
        <v>2740</v>
      </c>
      <c r="B563" s="8">
        <v>5</v>
      </c>
      <c r="C563" s="8" t="s">
        <v>2742</v>
      </c>
      <c r="D563" s="8" t="s">
        <v>2744</v>
      </c>
      <c r="E563" s="8" t="s">
        <v>1769</v>
      </c>
    </row>
    <row r="564" spans="1:9" x14ac:dyDescent="0.25">
      <c r="A564" s="10"/>
      <c r="B564" s="10"/>
      <c r="C564" s="10"/>
      <c r="D564" s="10"/>
      <c r="E564" s="10"/>
      <c r="F564" s="10"/>
      <c r="G564" s="10"/>
      <c r="H564" s="10"/>
      <c r="I564" s="10"/>
    </row>
    <row r="565" spans="1:9" x14ac:dyDescent="0.25">
      <c r="A565" s="8" t="s">
        <v>2746</v>
      </c>
      <c r="B565" s="8">
        <v>1</v>
      </c>
      <c r="C565" s="8" t="s">
        <v>842</v>
      </c>
      <c r="D565" s="8" t="s">
        <v>865</v>
      </c>
      <c r="E565" s="8" t="s">
        <v>1752</v>
      </c>
    </row>
    <row r="566" spans="1:9" x14ac:dyDescent="0.25">
      <c r="A566" s="8" t="s">
        <v>2746</v>
      </c>
      <c r="B566" s="8">
        <v>2</v>
      </c>
      <c r="C566" s="8" t="s">
        <v>843</v>
      </c>
      <c r="D566" s="8" t="s">
        <v>866</v>
      </c>
      <c r="E566" s="8" t="s">
        <v>1753</v>
      </c>
    </row>
    <row r="567" spans="1:9" x14ac:dyDescent="0.25">
      <c r="A567" s="8" t="s">
        <v>2746</v>
      </c>
      <c r="B567" s="8">
        <v>3</v>
      </c>
      <c r="C567" s="8" t="s">
        <v>844</v>
      </c>
      <c r="D567" s="8" t="s">
        <v>867</v>
      </c>
      <c r="E567" s="8" t="s">
        <v>1754</v>
      </c>
    </row>
    <row r="568" spans="1:9" x14ac:dyDescent="0.25">
      <c r="A568" s="8" t="s">
        <v>2746</v>
      </c>
      <c r="B568" s="8">
        <v>4</v>
      </c>
      <c r="C568" s="8" t="s">
        <v>845</v>
      </c>
      <c r="D568" s="8" t="s">
        <v>868</v>
      </c>
      <c r="E568" s="8" t="s">
        <v>1755</v>
      </c>
    </row>
    <row r="569" spans="1:9" x14ac:dyDescent="0.25">
      <c r="A569" s="8" t="s">
        <v>2746</v>
      </c>
      <c r="B569" s="8">
        <v>5</v>
      </c>
      <c r="C569" s="8" t="s">
        <v>870</v>
      </c>
      <c r="D569" s="8" t="s">
        <v>871</v>
      </c>
      <c r="E569" s="8" t="s">
        <v>1756</v>
      </c>
    </row>
    <row r="570" spans="1:9" x14ac:dyDescent="0.25">
      <c r="A570" s="8" t="s">
        <v>2746</v>
      </c>
      <c r="B570" s="8">
        <v>99</v>
      </c>
      <c r="C570" s="8" t="s">
        <v>846</v>
      </c>
      <c r="D570" s="8" t="s">
        <v>86</v>
      </c>
      <c r="E570" s="8" t="s">
        <v>1191</v>
      </c>
    </row>
    <row r="571" spans="1:9" x14ac:dyDescent="0.25">
      <c r="A571" s="10"/>
      <c r="B571" s="10"/>
      <c r="C571" s="10"/>
      <c r="D571" s="10"/>
      <c r="E571" s="10"/>
      <c r="F571" s="10"/>
      <c r="G571" s="10"/>
      <c r="H571" s="10"/>
      <c r="I571" s="10"/>
    </row>
    <row r="572" spans="1:9" x14ac:dyDescent="0.25">
      <c r="A572" s="8" t="s">
        <v>2747</v>
      </c>
      <c r="B572" s="8">
        <v>1</v>
      </c>
      <c r="C572" s="8" t="s">
        <v>847</v>
      </c>
      <c r="D572" s="8" t="s">
        <v>1762</v>
      </c>
      <c r="E572" s="8" t="s">
        <v>1762</v>
      </c>
    </row>
    <row r="573" spans="1:9" x14ac:dyDescent="0.25">
      <c r="A573" s="8" t="s">
        <v>2747</v>
      </c>
      <c r="B573" s="8">
        <v>2</v>
      </c>
      <c r="C573" s="8" t="s">
        <v>848</v>
      </c>
      <c r="D573" s="8" t="s">
        <v>2748</v>
      </c>
      <c r="E573" s="8" t="s">
        <v>1763</v>
      </c>
    </row>
    <row r="574" spans="1:9" x14ac:dyDescent="0.25">
      <c r="A574" s="8" t="s">
        <v>2747</v>
      </c>
      <c r="B574" s="8">
        <v>3</v>
      </c>
      <c r="C574" s="8" t="s">
        <v>849</v>
      </c>
      <c r="D574" s="8" t="s">
        <v>1764</v>
      </c>
      <c r="E574" s="8" t="s">
        <v>1764</v>
      </c>
    </row>
    <row r="575" spans="1:9" x14ac:dyDescent="0.25">
      <c r="A575" s="8" t="s">
        <v>2747</v>
      </c>
      <c r="B575" s="8">
        <v>4</v>
      </c>
      <c r="C575" s="8" t="s">
        <v>850</v>
      </c>
      <c r="D575" s="8" t="s">
        <v>2749</v>
      </c>
      <c r="E575" s="8" t="s">
        <v>1765</v>
      </c>
    </row>
    <row r="576" spans="1:9" x14ac:dyDescent="0.25">
      <c r="A576" s="8" t="s">
        <v>2747</v>
      </c>
      <c r="B576" s="8">
        <v>5</v>
      </c>
      <c r="C576" s="8" t="s">
        <v>851</v>
      </c>
      <c r="D576" s="8" t="s">
        <v>2750</v>
      </c>
      <c r="E576" s="8" t="s">
        <v>1766</v>
      </c>
    </row>
    <row r="577" spans="1:9" x14ac:dyDescent="0.25">
      <c r="A577" s="8" t="s">
        <v>2747</v>
      </c>
      <c r="B577" s="8">
        <v>7</v>
      </c>
      <c r="C577" s="8" t="s">
        <v>869</v>
      </c>
      <c r="D577" s="8" t="s">
        <v>2751</v>
      </c>
      <c r="E577" s="8" t="s">
        <v>1767</v>
      </c>
    </row>
    <row r="578" spans="1:9" x14ac:dyDescent="0.25">
      <c r="A578" s="8" t="s">
        <v>2747</v>
      </c>
      <c r="B578" s="8">
        <v>96</v>
      </c>
      <c r="C578" s="8" t="s">
        <v>78</v>
      </c>
      <c r="D578" s="8" t="s">
        <v>2752</v>
      </c>
      <c r="E578" s="8" t="s">
        <v>1768</v>
      </c>
    </row>
    <row r="579" spans="1:9" x14ac:dyDescent="0.25">
      <c r="A579" s="10"/>
      <c r="B579" s="10"/>
      <c r="C579" s="10"/>
      <c r="D579" s="10"/>
      <c r="E579" s="10"/>
      <c r="F579" s="10"/>
      <c r="G579" s="10"/>
      <c r="H579" s="10"/>
      <c r="I579" s="10"/>
    </row>
    <row r="580" spans="1:9" x14ac:dyDescent="0.25">
      <c r="A580" s="8" t="s">
        <v>2753</v>
      </c>
      <c r="B580" s="8">
        <v>1</v>
      </c>
      <c r="C580" s="8" t="s">
        <v>852</v>
      </c>
      <c r="D580" s="8" t="s">
        <v>859</v>
      </c>
      <c r="E580" s="8" t="s">
        <v>1757</v>
      </c>
    </row>
    <row r="581" spans="1:9" x14ac:dyDescent="0.25">
      <c r="A581" s="8" t="s">
        <v>2753</v>
      </c>
      <c r="B581" s="8">
        <v>2</v>
      </c>
      <c r="C581" s="8" t="s">
        <v>853</v>
      </c>
      <c r="D581" s="8" t="s">
        <v>860</v>
      </c>
      <c r="E581" s="8" t="s">
        <v>1758</v>
      </c>
    </row>
    <row r="582" spans="1:9" x14ac:dyDescent="0.25">
      <c r="A582" s="8" t="s">
        <v>2753</v>
      </c>
      <c r="B582" s="8">
        <v>3</v>
      </c>
      <c r="C582" s="8" t="s">
        <v>854</v>
      </c>
      <c r="D582" s="8" t="s">
        <v>861</v>
      </c>
      <c r="E582" s="8" t="s">
        <v>1759</v>
      </c>
    </row>
    <row r="583" spans="1:9" x14ac:dyDescent="0.25">
      <c r="A583" s="8" t="s">
        <v>2753</v>
      </c>
      <c r="B583" s="8">
        <v>4</v>
      </c>
      <c r="C583" s="8" t="s">
        <v>855</v>
      </c>
      <c r="D583" s="8" t="s">
        <v>862</v>
      </c>
      <c r="E583" s="8" t="s">
        <v>3301</v>
      </c>
    </row>
    <row r="584" spans="1:9" x14ac:dyDescent="0.25">
      <c r="A584" s="8" t="s">
        <v>2753</v>
      </c>
      <c r="B584" s="8">
        <v>5</v>
      </c>
      <c r="C584" s="8" t="s">
        <v>856</v>
      </c>
      <c r="D584" s="8" t="s">
        <v>863</v>
      </c>
      <c r="E584" s="8" t="s">
        <v>1760</v>
      </c>
    </row>
    <row r="585" spans="1:9" x14ac:dyDescent="0.25">
      <c r="A585" s="8" t="s">
        <v>2753</v>
      </c>
      <c r="B585" s="8">
        <v>6</v>
      </c>
      <c r="C585" s="8" t="s">
        <v>857</v>
      </c>
      <c r="D585" s="8" t="s">
        <v>864</v>
      </c>
      <c r="E585" s="8" t="s">
        <v>1761</v>
      </c>
    </row>
    <row r="586" spans="1:9" x14ac:dyDescent="0.25">
      <c r="A586" s="8" t="s">
        <v>2753</v>
      </c>
      <c r="B586" s="8">
        <v>96</v>
      </c>
      <c r="C586" s="8" t="s">
        <v>858</v>
      </c>
      <c r="D586" s="8" t="s">
        <v>79</v>
      </c>
      <c r="E586" s="8" t="s">
        <v>1006</v>
      </c>
    </row>
    <row r="587" spans="1:9" x14ac:dyDescent="0.25">
      <c r="A587" s="10"/>
      <c r="B587" s="10"/>
      <c r="C587" s="10"/>
      <c r="D587" s="10"/>
      <c r="E587" s="10"/>
      <c r="F587" s="10"/>
      <c r="G587" s="10"/>
      <c r="H587" s="10"/>
      <c r="I587" s="10"/>
    </row>
    <row r="588" spans="1:9" x14ac:dyDescent="0.25">
      <c r="A588" s="8" t="s">
        <v>2754</v>
      </c>
      <c r="B588" s="8">
        <v>1</v>
      </c>
      <c r="C588" s="8" t="s">
        <v>633</v>
      </c>
      <c r="D588" s="8" t="s">
        <v>884</v>
      </c>
      <c r="E588" s="8" t="s">
        <v>884</v>
      </c>
    </row>
    <row r="589" spans="1:9" x14ac:dyDescent="0.25">
      <c r="A589" s="8" t="s">
        <v>2754</v>
      </c>
      <c r="B589" s="8">
        <v>2</v>
      </c>
      <c r="C589" s="8" t="s">
        <v>872</v>
      </c>
      <c r="D589" s="8" t="s">
        <v>885</v>
      </c>
      <c r="E589" s="8" t="s">
        <v>2755</v>
      </c>
    </row>
    <row r="590" spans="1:9" x14ac:dyDescent="0.25">
      <c r="A590" s="8" t="s">
        <v>2754</v>
      </c>
      <c r="B590" s="8">
        <v>3</v>
      </c>
      <c r="C590" s="8" t="s">
        <v>873</v>
      </c>
      <c r="D590" s="8" t="s">
        <v>886</v>
      </c>
      <c r="E590" s="8" t="s">
        <v>2756</v>
      </c>
    </row>
    <row r="591" spans="1:9" x14ac:dyDescent="0.25">
      <c r="A591" s="8" t="s">
        <v>2754</v>
      </c>
      <c r="B591" s="8">
        <v>4</v>
      </c>
      <c r="C591" s="8" t="s">
        <v>635</v>
      </c>
      <c r="D591" s="8" t="s">
        <v>887</v>
      </c>
      <c r="E591" s="8" t="s">
        <v>2757</v>
      </c>
    </row>
    <row r="592" spans="1:9" x14ac:dyDescent="0.25">
      <c r="A592" s="8" t="s">
        <v>2754</v>
      </c>
      <c r="B592" s="8">
        <v>5</v>
      </c>
      <c r="C592" s="8" t="s">
        <v>634</v>
      </c>
      <c r="D592" s="8" t="s">
        <v>888</v>
      </c>
      <c r="E592" s="8" t="s">
        <v>888</v>
      </c>
    </row>
    <row r="593" spans="1:9" x14ac:dyDescent="0.25">
      <c r="A593" s="8" t="s">
        <v>2754</v>
      </c>
      <c r="B593" s="8">
        <v>6</v>
      </c>
      <c r="C593" s="8" t="s">
        <v>874</v>
      </c>
      <c r="D593" s="8" t="s">
        <v>889</v>
      </c>
      <c r="E593" s="8" t="s">
        <v>2758</v>
      </c>
    </row>
    <row r="594" spans="1:9" x14ac:dyDescent="0.25">
      <c r="A594" s="8" t="s">
        <v>2754</v>
      </c>
      <c r="B594" s="8">
        <v>7</v>
      </c>
      <c r="C594" s="8" t="s">
        <v>875</v>
      </c>
      <c r="D594" s="8" t="s">
        <v>890</v>
      </c>
      <c r="E594" s="8" t="s">
        <v>2761</v>
      </c>
    </row>
    <row r="595" spans="1:9" x14ac:dyDescent="0.25">
      <c r="A595" s="8" t="s">
        <v>2754</v>
      </c>
      <c r="B595" s="8">
        <v>8</v>
      </c>
      <c r="C595" s="8" t="s">
        <v>876</v>
      </c>
      <c r="D595" s="8" t="s">
        <v>891</v>
      </c>
      <c r="E595" s="8" t="s">
        <v>2762</v>
      </c>
    </row>
    <row r="596" spans="1:9" x14ac:dyDescent="0.25">
      <c r="A596" s="8" t="s">
        <v>2754</v>
      </c>
      <c r="B596" s="8">
        <v>9</v>
      </c>
      <c r="C596" s="8" t="s">
        <v>877</v>
      </c>
      <c r="D596" s="8" t="s">
        <v>892</v>
      </c>
      <c r="E596" s="8" t="s">
        <v>2759</v>
      </c>
    </row>
    <row r="597" spans="1:9" x14ac:dyDescent="0.25">
      <c r="A597" s="8" t="s">
        <v>2754</v>
      </c>
      <c r="B597" s="8">
        <v>10</v>
      </c>
      <c r="C597" s="8" t="s">
        <v>878</v>
      </c>
      <c r="D597" s="8" t="s">
        <v>893</v>
      </c>
      <c r="E597" s="8" t="s">
        <v>2760</v>
      </c>
    </row>
    <row r="598" spans="1:9" x14ac:dyDescent="0.25">
      <c r="A598" s="10"/>
      <c r="B598" s="10"/>
      <c r="C598" s="10"/>
      <c r="D598" s="10"/>
      <c r="E598" s="10"/>
      <c r="F598" s="10"/>
      <c r="G598" s="10"/>
      <c r="H598" s="10"/>
      <c r="I598" s="10"/>
    </row>
    <row r="599" spans="1:9" x14ac:dyDescent="0.25">
      <c r="A599" s="8" t="s">
        <v>2763</v>
      </c>
      <c r="B599" s="8">
        <v>1</v>
      </c>
      <c r="C599" s="8" t="s">
        <v>879</v>
      </c>
      <c r="D599" s="8" t="s">
        <v>894</v>
      </c>
      <c r="E599" s="8" t="s">
        <v>1769</v>
      </c>
    </row>
    <row r="600" spans="1:9" x14ac:dyDescent="0.25">
      <c r="A600" s="8" t="s">
        <v>2763</v>
      </c>
      <c r="B600" s="8">
        <v>2</v>
      </c>
      <c r="C600" s="8" t="s">
        <v>880</v>
      </c>
      <c r="D600" s="8" t="s">
        <v>895</v>
      </c>
      <c r="E600" s="8" t="s">
        <v>1770</v>
      </c>
    </row>
    <row r="601" spans="1:9" x14ac:dyDescent="0.25">
      <c r="A601" s="8" t="s">
        <v>2763</v>
      </c>
      <c r="B601" s="8">
        <v>3</v>
      </c>
      <c r="C601" s="8" t="s">
        <v>881</v>
      </c>
      <c r="D601" s="8" t="s">
        <v>896</v>
      </c>
      <c r="E601" s="8" t="s">
        <v>1771</v>
      </c>
    </row>
    <row r="602" spans="1:9" x14ac:dyDescent="0.25">
      <c r="A602" s="8" t="s">
        <v>2763</v>
      </c>
      <c r="B602" s="8">
        <v>4</v>
      </c>
      <c r="C602" s="8" t="s">
        <v>882</v>
      </c>
      <c r="D602" s="8" t="s">
        <v>897</v>
      </c>
      <c r="E602" s="8" t="s">
        <v>1772</v>
      </c>
    </row>
    <row r="603" spans="1:9" x14ac:dyDescent="0.25">
      <c r="A603" s="8" t="s">
        <v>2763</v>
      </c>
      <c r="B603" s="8">
        <v>5</v>
      </c>
      <c r="C603" s="8" t="s">
        <v>883</v>
      </c>
      <c r="D603" s="8" t="s">
        <v>898</v>
      </c>
      <c r="E603" s="8" t="s">
        <v>1773</v>
      </c>
    </row>
    <row r="604" spans="1:9" x14ac:dyDescent="0.25">
      <c r="A604" s="10"/>
      <c r="B604" s="10"/>
      <c r="C604" s="10"/>
      <c r="D604" s="10"/>
      <c r="E604" s="10"/>
      <c r="F604" s="10"/>
      <c r="G604" s="10"/>
      <c r="H604" s="10"/>
      <c r="I604" s="10"/>
    </row>
    <row r="605" spans="1:9" x14ac:dyDescent="0.25">
      <c r="A605" s="7" t="s">
        <v>2967</v>
      </c>
      <c r="B605" s="7">
        <v>1</v>
      </c>
      <c r="C605" s="8" t="s">
        <v>2980</v>
      </c>
      <c r="D605" s="8" t="s">
        <v>2855</v>
      </c>
      <c r="E605" s="8" t="s">
        <v>2975</v>
      </c>
      <c r="H605" s="8">
        <v>1</v>
      </c>
    </row>
    <row r="606" spans="1:9" x14ac:dyDescent="0.25">
      <c r="A606" s="7" t="s">
        <v>2967</v>
      </c>
      <c r="B606" s="7">
        <v>2</v>
      </c>
      <c r="C606" s="8" t="s">
        <v>2851</v>
      </c>
      <c r="D606" s="8" t="s">
        <v>2856</v>
      </c>
      <c r="E606" s="8" t="s">
        <v>2976</v>
      </c>
      <c r="H606" s="8">
        <v>2</v>
      </c>
    </row>
    <row r="607" spans="1:9" x14ac:dyDescent="0.25">
      <c r="A607" s="7" t="s">
        <v>2967</v>
      </c>
      <c r="B607" s="7">
        <v>3</v>
      </c>
      <c r="C607" s="8" t="s">
        <v>2852</v>
      </c>
      <c r="D607" s="8" t="s">
        <v>2857</v>
      </c>
      <c r="E607" s="8" t="s">
        <v>2977</v>
      </c>
      <c r="H607" s="8">
        <v>3</v>
      </c>
    </row>
    <row r="608" spans="1:9" x14ac:dyDescent="0.25">
      <c r="A608" s="7" t="s">
        <v>2967</v>
      </c>
      <c r="B608" s="7">
        <v>4</v>
      </c>
      <c r="C608" s="8" t="s">
        <v>2853</v>
      </c>
      <c r="D608" s="8" t="s">
        <v>2858</v>
      </c>
      <c r="E608" s="8" t="s">
        <v>2978</v>
      </c>
      <c r="H608" s="8">
        <v>4</v>
      </c>
    </row>
    <row r="609" spans="1:9" x14ac:dyDescent="0.25">
      <c r="A609" s="7" t="s">
        <v>2967</v>
      </c>
      <c r="B609" s="7">
        <v>5</v>
      </c>
      <c r="C609" s="8" t="s">
        <v>2854</v>
      </c>
      <c r="D609" s="8" t="s">
        <v>2859</v>
      </c>
      <c r="E609" s="8" t="s">
        <v>2979</v>
      </c>
      <c r="H609" s="8">
        <v>5</v>
      </c>
    </row>
    <row r="610" spans="1:9" x14ac:dyDescent="0.25">
      <c r="A610" s="10"/>
      <c r="B610" s="10"/>
      <c r="C610" s="10"/>
      <c r="D610" s="10"/>
      <c r="E610" s="10"/>
      <c r="F610" s="10"/>
      <c r="G610" s="10"/>
      <c r="H610" s="10"/>
      <c r="I610" s="10"/>
    </row>
    <row r="611" spans="1:9" x14ac:dyDescent="0.25">
      <c r="A611" s="7" t="s">
        <v>2971</v>
      </c>
      <c r="B611" s="7">
        <v>1</v>
      </c>
      <c r="C611" s="8" t="s">
        <v>1774</v>
      </c>
      <c r="D611" s="8" t="s">
        <v>1777</v>
      </c>
      <c r="E611" s="8" t="s">
        <v>1780</v>
      </c>
    </row>
    <row r="612" spans="1:9" x14ac:dyDescent="0.25">
      <c r="A612" s="7" t="s">
        <v>2971</v>
      </c>
      <c r="B612" s="7">
        <v>2</v>
      </c>
      <c r="C612" s="8" t="s">
        <v>1775</v>
      </c>
      <c r="D612" s="8" t="s">
        <v>1778</v>
      </c>
      <c r="E612" s="8" t="s">
        <v>1781</v>
      </c>
    </row>
    <row r="613" spans="1:9" x14ac:dyDescent="0.25">
      <c r="A613" s="7" t="s">
        <v>2971</v>
      </c>
      <c r="B613" s="7">
        <v>3</v>
      </c>
      <c r="C613" s="8" t="s">
        <v>1776</v>
      </c>
      <c r="D613" s="8" t="s">
        <v>1779</v>
      </c>
      <c r="E613" s="8" t="s">
        <v>1782</v>
      </c>
    </row>
    <row r="614" spans="1:9" x14ac:dyDescent="0.25">
      <c r="A614" s="10"/>
      <c r="B614" s="10"/>
      <c r="C614" s="10"/>
      <c r="D614" s="10"/>
      <c r="E614" s="10"/>
      <c r="F614" s="10"/>
      <c r="G614" s="10"/>
      <c r="H614" s="10"/>
      <c r="I614" s="10"/>
    </row>
    <row r="615" spans="1:9" x14ac:dyDescent="0.25">
      <c r="A615" s="7" t="s">
        <v>2968</v>
      </c>
      <c r="B615" s="7">
        <v>1</v>
      </c>
      <c r="C615" s="8" t="s">
        <v>2866</v>
      </c>
      <c r="D615" s="8" t="s">
        <v>2860</v>
      </c>
      <c r="E615" s="8" t="s">
        <v>2870</v>
      </c>
      <c r="H615" s="8">
        <v>1</v>
      </c>
    </row>
    <row r="616" spans="1:9" x14ac:dyDescent="0.25">
      <c r="A616" s="7" t="s">
        <v>2968</v>
      </c>
      <c r="B616" s="7">
        <v>2</v>
      </c>
      <c r="C616" s="8" t="s">
        <v>2867</v>
      </c>
      <c r="D616" s="8" t="s">
        <v>2861</v>
      </c>
      <c r="E616" s="8" t="s">
        <v>2871</v>
      </c>
      <c r="H616" s="8">
        <v>2</v>
      </c>
    </row>
    <row r="617" spans="1:9" x14ac:dyDescent="0.25">
      <c r="A617" s="7" t="s">
        <v>2968</v>
      </c>
      <c r="B617" s="7">
        <v>3</v>
      </c>
      <c r="C617" s="8" t="s">
        <v>2868</v>
      </c>
      <c r="D617" s="8" t="s">
        <v>2862</v>
      </c>
      <c r="E617" s="8" t="s">
        <v>2872</v>
      </c>
      <c r="H617" s="8">
        <v>3</v>
      </c>
    </row>
    <row r="618" spans="1:9" x14ac:dyDescent="0.25">
      <c r="A618" s="7" t="s">
        <v>2968</v>
      </c>
      <c r="B618" s="7">
        <v>4</v>
      </c>
      <c r="C618" s="8" t="s">
        <v>2869</v>
      </c>
      <c r="D618" s="8" t="s">
        <v>2863</v>
      </c>
      <c r="E618" s="8" t="s">
        <v>2873</v>
      </c>
      <c r="H618" s="8">
        <v>4</v>
      </c>
    </row>
    <row r="619" spans="1:9" x14ac:dyDescent="0.25">
      <c r="A619" s="7" t="s">
        <v>2968</v>
      </c>
      <c r="B619" s="7">
        <v>5</v>
      </c>
      <c r="C619" s="8" t="s">
        <v>2865</v>
      </c>
      <c r="D619" s="8" t="s">
        <v>2864</v>
      </c>
      <c r="E619" s="8" t="s">
        <v>2874</v>
      </c>
      <c r="H619" s="8">
        <v>5</v>
      </c>
    </row>
    <row r="620" spans="1:9" x14ac:dyDescent="0.25">
      <c r="A620" s="10"/>
      <c r="B620" s="10"/>
      <c r="C620" s="10"/>
      <c r="D620" s="10"/>
      <c r="E620" s="10"/>
      <c r="F620" s="10"/>
      <c r="G620" s="10"/>
      <c r="H620" s="10"/>
      <c r="I620" s="10"/>
    </row>
    <row r="621" spans="1:9" x14ac:dyDescent="0.25">
      <c r="A621" s="7" t="s">
        <v>2972</v>
      </c>
      <c r="B621" s="7">
        <v>1</v>
      </c>
      <c r="C621" s="8" t="s">
        <v>1774</v>
      </c>
      <c r="D621" s="8" t="s">
        <v>1777</v>
      </c>
      <c r="E621" s="8" t="s">
        <v>1780</v>
      </c>
    </row>
    <row r="622" spans="1:9" x14ac:dyDescent="0.25">
      <c r="A622" s="7" t="s">
        <v>2972</v>
      </c>
      <c r="B622" s="7">
        <v>2</v>
      </c>
      <c r="C622" s="8" t="s">
        <v>1783</v>
      </c>
      <c r="D622" s="8" t="s">
        <v>1786</v>
      </c>
      <c r="E622" s="8" t="s">
        <v>1789</v>
      </c>
    </row>
    <row r="623" spans="1:9" x14ac:dyDescent="0.25">
      <c r="A623" s="7" t="s">
        <v>2972</v>
      </c>
      <c r="B623" s="7">
        <v>3</v>
      </c>
      <c r="C623" s="8" t="s">
        <v>1784</v>
      </c>
      <c r="D623" s="8" t="s">
        <v>1787</v>
      </c>
      <c r="E623" s="8" t="s">
        <v>1790</v>
      </c>
    </row>
    <row r="624" spans="1:9" x14ac:dyDescent="0.25">
      <c r="A624" s="7" t="s">
        <v>2972</v>
      </c>
      <c r="B624" s="7">
        <v>4</v>
      </c>
      <c r="C624" s="8" t="s">
        <v>1785</v>
      </c>
      <c r="D624" s="8" t="s">
        <v>1788</v>
      </c>
      <c r="E624" s="8" t="s">
        <v>1791</v>
      </c>
    </row>
    <row r="625" spans="1:9" x14ac:dyDescent="0.25">
      <c r="A625" s="10"/>
      <c r="B625" s="10"/>
      <c r="C625" s="10"/>
      <c r="D625" s="10"/>
      <c r="E625" s="10"/>
      <c r="F625" s="10"/>
      <c r="G625" s="10"/>
      <c r="H625" s="10"/>
      <c r="I625" s="10"/>
    </row>
    <row r="626" spans="1:9" x14ac:dyDescent="0.25">
      <c r="A626" s="7" t="s">
        <v>2969</v>
      </c>
      <c r="B626" s="7">
        <v>1</v>
      </c>
      <c r="C626" s="8" t="s">
        <v>2875</v>
      </c>
      <c r="D626" s="8" t="s">
        <v>2880</v>
      </c>
      <c r="E626" s="8" t="s">
        <v>2885</v>
      </c>
      <c r="H626" s="8">
        <v>1</v>
      </c>
    </row>
    <row r="627" spans="1:9" x14ac:dyDescent="0.25">
      <c r="A627" s="7" t="s">
        <v>2969</v>
      </c>
      <c r="B627" s="7">
        <v>2</v>
      </c>
      <c r="C627" s="8" t="s">
        <v>2876</v>
      </c>
      <c r="D627" s="8" t="s">
        <v>2881</v>
      </c>
      <c r="E627" s="8" t="s">
        <v>2886</v>
      </c>
      <c r="H627" s="8">
        <v>2</v>
      </c>
    </row>
    <row r="628" spans="1:9" x14ac:dyDescent="0.25">
      <c r="A628" s="7" t="s">
        <v>2969</v>
      </c>
      <c r="B628" s="7">
        <v>3</v>
      </c>
      <c r="C628" s="8" t="s">
        <v>2877</v>
      </c>
      <c r="D628" s="8" t="s">
        <v>2882</v>
      </c>
      <c r="E628" s="8" t="s">
        <v>2887</v>
      </c>
      <c r="H628" s="8">
        <v>3</v>
      </c>
    </row>
    <row r="629" spans="1:9" x14ac:dyDescent="0.25">
      <c r="A629" s="7" t="s">
        <v>2969</v>
      </c>
      <c r="B629" s="7">
        <v>4</v>
      </c>
      <c r="C629" s="8" t="s">
        <v>2878</v>
      </c>
      <c r="D629" s="8" t="s">
        <v>2883</v>
      </c>
      <c r="E629" s="8" t="s">
        <v>2888</v>
      </c>
      <c r="H629" s="8">
        <v>4</v>
      </c>
    </row>
    <row r="630" spans="1:9" x14ac:dyDescent="0.25">
      <c r="A630" s="7" t="s">
        <v>2969</v>
      </c>
      <c r="B630" s="7">
        <v>5</v>
      </c>
      <c r="C630" s="8" t="s">
        <v>2879</v>
      </c>
      <c r="D630" s="8" t="s">
        <v>2884</v>
      </c>
      <c r="E630" s="8" t="s">
        <v>2889</v>
      </c>
      <c r="H630" s="8">
        <v>5</v>
      </c>
    </row>
    <row r="631" spans="1:9" x14ac:dyDescent="0.25">
      <c r="A631" s="10"/>
      <c r="B631" s="10"/>
      <c r="C631" s="10"/>
      <c r="D631" s="10"/>
      <c r="E631" s="10"/>
      <c r="F631" s="10"/>
      <c r="G631" s="10"/>
      <c r="H631" s="10"/>
      <c r="I631" s="10"/>
    </row>
    <row r="632" spans="1:9" x14ac:dyDescent="0.25">
      <c r="A632" s="7" t="s">
        <v>2973</v>
      </c>
      <c r="B632" s="7">
        <v>1</v>
      </c>
      <c r="C632" s="8" t="s">
        <v>1774</v>
      </c>
      <c r="D632" s="8" t="s">
        <v>1777</v>
      </c>
      <c r="E632" s="8" t="s">
        <v>1780</v>
      </c>
    </row>
    <row r="633" spans="1:9" x14ac:dyDescent="0.25">
      <c r="A633" s="7" t="s">
        <v>2973</v>
      </c>
      <c r="B633" s="7">
        <v>2</v>
      </c>
      <c r="C633" s="8" t="s">
        <v>1783</v>
      </c>
      <c r="D633" s="8" t="s">
        <v>1786</v>
      </c>
      <c r="E633" s="8" t="s">
        <v>1789</v>
      </c>
    </row>
    <row r="634" spans="1:9" x14ac:dyDescent="0.25">
      <c r="A634" s="7" t="s">
        <v>2973</v>
      </c>
      <c r="B634" s="7">
        <v>3</v>
      </c>
      <c r="C634" s="8" t="s">
        <v>1792</v>
      </c>
      <c r="D634" s="8" t="s">
        <v>1795</v>
      </c>
      <c r="E634" s="8" t="s">
        <v>1798</v>
      </c>
    </row>
    <row r="635" spans="1:9" x14ac:dyDescent="0.25">
      <c r="A635" s="7" t="s">
        <v>2973</v>
      </c>
      <c r="B635" s="7">
        <v>4</v>
      </c>
      <c r="C635" s="8" t="s">
        <v>1793</v>
      </c>
      <c r="D635" s="8" t="s">
        <v>1796</v>
      </c>
      <c r="E635" s="8" t="s">
        <v>2890</v>
      </c>
    </row>
    <row r="636" spans="1:9" x14ac:dyDescent="0.25">
      <c r="A636" s="7" t="s">
        <v>2973</v>
      </c>
      <c r="B636" s="7">
        <v>5</v>
      </c>
      <c r="C636" s="8" t="s">
        <v>1794</v>
      </c>
      <c r="D636" s="8" t="s">
        <v>1797</v>
      </c>
      <c r="E636" s="8" t="s">
        <v>2891</v>
      </c>
    </row>
    <row r="637" spans="1:9" x14ac:dyDescent="0.25">
      <c r="A637" s="10"/>
      <c r="B637" s="10"/>
      <c r="C637" s="10"/>
      <c r="D637" s="10"/>
      <c r="E637" s="10"/>
      <c r="F637" s="10"/>
      <c r="G637" s="10"/>
      <c r="H637" s="10"/>
      <c r="I637" s="10"/>
    </row>
    <row r="638" spans="1:9" x14ac:dyDescent="0.25">
      <c r="A638" s="7" t="s">
        <v>2970</v>
      </c>
      <c r="B638" s="7">
        <v>1</v>
      </c>
      <c r="C638" s="8" t="s">
        <v>2892</v>
      </c>
      <c r="D638" s="8" t="s">
        <v>2897</v>
      </c>
      <c r="E638" s="8" t="s">
        <v>2902</v>
      </c>
      <c r="H638" s="8">
        <v>1</v>
      </c>
    </row>
    <row r="639" spans="1:9" x14ac:dyDescent="0.25">
      <c r="A639" s="7" t="s">
        <v>2970</v>
      </c>
      <c r="B639" s="7">
        <v>2</v>
      </c>
      <c r="C639" s="8" t="s">
        <v>2893</v>
      </c>
      <c r="D639" s="8" t="s">
        <v>2898</v>
      </c>
      <c r="E639" s="8" t="s">
        <v>2903</v>
      </c>
      <c r="H639" s="8">
        <v>2</v>
      </c>
    </row>
    <row r="640" spans="1:9" x14ac:dyDescent="0.25">
      <c r="A640" s="7" t="s">
        <v>2970</v>
      </c>
      <c r="B640" s="7">
        <v>3</v>
      </c>
      <c r="C640" s="8" t="s">
        <v>2894</v>
      </c>
      <c r="D640" s="8" t="s">
        <v>2899</v>
      </c>
      <c r="E640" s="8" t="s">
        <v>2904</v>
      </c>
      <c r="H640" s="8">
        <v>3</v>
      </c>
    </row>
    <row r="641" spans="1:9" x14ac:dyDescent="0.25">
      <c r="A641" s="7" t="s">
        <v>2970</v>
      </c>
      <c r="B641" s="7">
        <v>4</v>
      </c>
      <c r="C641" s="8" t="s">
        <v>2895</v>
      </c>
      <c r="D641" s="8" t="s">
        <v>2900</v>
      </c>
      <c r="E641" s="8" t="s">
        <v>2905</v>
      </c>
      <c r="H641" s="8">
        <v>4</v>
      </c>
    </row>
    <row r="642" spans="1:9" x14ac:dyDescent="0.25">
      <c r="A642" s="7" t="s">
        <v>2970</v>
      </c>
      <c r="B642" s="7">
        <v>5</v>
      </c>
      <c r="C642" s="8" t="s">
        <v>2896</v>
      </c>
      <c r="D642" s="8" t="s">
        <v>2901</v>
      </c>
      <c r="E642" s="8" t="s">
        <v>2906</v>
      </c>
      <c r="H642" s="8">
        <v>5</v>
      </c>
    </row>
    <row r="643" spans="1:9" x14ac:dyDescent="0.25">
      <c r="A643" s="10"/>
      <c r="B643" s="10"/>
      <c r="C643" s="10"/>
      <c r="D643" s="10"/>
      <c r="E643" s="10"/>
      <c r="F643" s="10"/>
      <c r="G643" s="10"/>
      <c r="H643" s="10"/>
      <c r="I643" s="10"/>
    </row>
    <row r="644" spans="1:9" x14ac:dyDescent="0.25">
      <c r="A644" s="7" t="s">
        <v>2974</v>
      </c>
      <c r="B644" s="7">
        <v>1</v>
      </c>
      <c r="C644" s="8" t="s">
        <v>1774</v>
      </c>
      <c r="D644" s="8" t="s">
        <v>1777</v>
      </c>
      <c r="E644" s="8" t="s">
        <v>1780</v>
      </c>
    </row>
    <row r="645" spans="1:9" x14ac:dyDescent="0.25">
      <c r="A645" s="7" t="s">
        <v>2974</v>
      </c>
      <c r="B645" s="7">
        <v>2</v>
      </c>
      <c r="C645" s="8" t="s">
        <v>1799</v>
      </c>
      <c r="D645" s="8" t="s">
        <v>1801</v>
      </c>
      <c r="E645" s="8" t="s">
        <v>1803</v>
      </c>
    </row>
    <row r="646" spans="1:9" x14ac:dyDescent="0.25">
      <c r="A646" s="7" t="s">
        <v>2974</v>
      </c>
      <c r="B646" s="7">
        <v>3</v>
      </c>
      <c r="C646" s="8" t="s">
        <v>1800</v>
      </c>
      <c r="D646" s="8" t="s">
        <v>1802</v>
      </c>
      <c r="E646" s="8" t="s">
        <v>1804</v>
      </c>
    </row>
    <row r="647" spans="1:9" x14ac:dyDescent="0.25">
      <c r="A647" s="10"/>
      <c r="B647" s="10"/>
      <c r="C647" s="10"/>
      <c r="D647" s="10"/>
      <c r="E647" s="10"/>
      <c r="F647" s="10"/>
      <c r="G647" s="10"/>
      <c r="H647" s="10"/>
      <c r="I647" s="10"/>
    </row>
    <row r="648" spans="1:9" x14ac:dyDescent="0.25">
      <c r="A648" s="8" t="s">
        <v>2949</v>
      </c>
      <c r="B648" s="8">
        <v>1</v>
      </c>
      <c r="C648" s="8" t="s">
        <v>902</v>
      </c>
      <c r="D648" s="8" t="s">
        <v>965</v>
      </c>
      <c r="E648" s="8" t="s">
        <v>1805</v>
      </c>
    </row>
    <row r="649" spans="1:9" x14ac:dyDescent="0.25">
      <c r="A649" s="8" t="s">
        <v>2949</v>
      </c>
      <c r="B649" s="8">
        <v>2</v>
      </c>
      <c r="C649" s="8" t="s">
        <v>903</v>
      </c>
      <c r="D649" s="8" t="s">
        <v>966</v>
      </c>
      <c r="E649" s="8" t="s">
        <v>1806</v>
      </c>
    </row>
    <row r="650" spans="1:9" x14ac:dyDescent="0.25">
      <c r="A650" s="8" t="s">
        <v>2949</v>
      </c>
      <c r="B650" s="8">
        <v>3</v>
      </c>
      <c r="C650" s="8" t="s">
        <v>904</v>
      </c>
      <c r="D650" s="8" t="s">
        <v>967</v>
      </c>
      <c r="E650" s="8" t="s">
        <v>1807</v>
      </c>
    </row>
    <row r="651" spans="1:9" x14ac:dyDescent="0.25">
      <c r="A651" s="8" t="s">
        <v>2949</v>
      </c>
      <c r="B651" s="8">
        <v>4</v>
      </c>
      <c r="C651" s="8" t="s">
        <v>905</v>
      </c>
      <c r="D651" s="8" t="s">
        <v>968</v>
      </c>
      <c r="E651" s="8" t="s">
        <v>1808</v>
      </c>
    </row>
    <row r="652" spans="1:9" x14ac:dyDescent="0.25">
      <c r="A652" s="8" t="s">
        <v>2949</v>
      </c>
      <c r="B652" s="8">
        <v>5</v>
      </c>
      <c r="C652" s="8" t="s">
        <v>906</v>
      </c>
      <c r="D652" s="8" t="s">
        <v>969</v>
      </c>
      <c r="E652" s="8" t="s">
        <v>1809</v>
      </c>
    </row>
    <row r="653" spans="1:9" x14ac:dyDescent="0.25">
      <c r="A653" s="8" t="s">
        <v>2949</v>
      </c>
      <c r="B653" s="8">
        <v>6</v>
      </c>
      <c r="C653" s="8" t="s">
        <v>907</v>
      </c>
      <c r="D653" s="8" t="s">
        <v>973</v>
      </c>
      <c r="E653" s="8" t="s">
        <v>1810</v>
      </c>
    </row>
    <row r="654" spans="1:9" x14ac:dyDescent="0.25">
      <c r="A654" s="8" t="s">
        <v>2949</v>
      </c>
      <c r="B654" s="8">
        <v>7</v>
      </c>
      <c r="C654" s="8" t="s">
        <v>908</v>
      </c>
      <c r="D654" s="8" t="s">
        <v>970</v>
      </c>
      <c r="E654" s="8" t="s">
        <v>1811</v>
      </c>
    </row>
    <row r="655" spans="1:9" x14ac:dyDescent="0.25">
      <c r="A655" s="8" t="s">
        <v>2949</v>
      </c>
      <c r="B655" s="8">
        <v>8</v>
      </c>
      <c r="C655" s="8" t="s">
        <v>909</v>
      </c>
      <c r="D655" s="8" t="s">
        <v>971</v>
      </c>
      <c r="E655" s="8" t="s">
        <v>1812</v>
      </c>
    </row>
    <row r="656" spans="1:9" x14ac:dyDescent="0.25">
      <c r="A656" s="8" t="s">
        <v>2949</v>
      </c>
      <c r="B656" s="8">
        <v>9</v>
      </c>
      <c r="C656" s="8" t="s">
        <v>910</v>
      </c>
      <c r="D656" s="8" t="s">
        <v>972</v>
      </c>
      <c r="E656" s="8" t="s">
        <v>1813</v>
      </c>
    </row>
    <row r="657" spans="1:9" x14ac:dyDescent="0.25">
      <c r="A657" s="8" t="s">
        <v>2949</v>
      </c>
      <c r="B657" s="8">
        <v>10</v>
      </c>
      <c r="C657" s="8" t="s">
        <v>911</v>
      </c>
      <c r="D657" s="8" t="s">
        <v>975</v>
      </c>
      <c r="E657" s="8" t="s">
        <v>1814</v>
      </c>
    </row>
    <row r="658" spans="1:9" x14ac:dyDescent="0.25">
      <c r="A658" s="8" t="s">
        <v>2949</v>
      </c>
      <c r="B658" s="8">
        <v>11</v>
      </c>
      <c r="C658" s="8" t="s">
        <v>912</v>
      </c>
      <c r="D658" s="8" t="s">
        <v>974</v>
      </c>
      <c r="E658" s="8" t="s">
        <v>1815</v>
      </c>
    </row>
    <row r="659" spans="1:9" x14ac:dyDescent="0.25">
      <c r="A659" s="8" t="s">
        <v>2949</v>
      </c>
      <c r="B659" s="8">
        <v>96</v>
      </c>
      <c r="C659" s="8" t="s">
        <v>913</v>
      </c>
      <c r="D659" s="8" t="s">
        <v>952</v>
      </c>
      <c r="E659" s="8" t="s">
        <v>1816</v>
      </c>
    </row>
    <row r="660" spans="1:9" x14ac:dyDescent="0.25">
      <c r="A660" s="10"/>
      <c r="B660" s="10"/>
      <c r="C660" s="10"/>
      <c r="D660" s="10"/>
      <c r="E660" s="10"/>
      <c r="F660" s="10"/>
      <c r="G660" s="10"/>
      <c r="H660" s="10"/>
      <c r="I660" s="10"/>
    </row>
    <row r="661" spans="1:9" x14ac:dyDescent="0.25">
      <c r="A661" s="8" t="s">
        <v>2950</v>
      </c>
      <c r="B661" s="8">
        <v>1</v>
      </c>
      <c r="C661" s="8" t="s">
        <v>914</v>
      </c>
      <c r="D661" s="8" t="s">
        <v>939</v>
      </c>
      <c r="E661" s="8" t="s">
        <v>1817</v>
      </c>
    </row>
    <row r="662" spans="1:9" x14ac:dyDescent="0.25">
      <c r="A662" s="8" t="s">
        <v>2950</v>
      </c>
      <c r="B662" s="8">
        <v>2</v>
      </c>
      <c r="C662" s="8" t="s">
        <v>915</v>
      </c>
      <c r="D662" s="8" t="s">
        <v>943</v>
      </c>
      <c r="E662" s="8" t="s">
        <v>1818</v>
      </c>
    </row>
    <row r="663" spans="1:9" x14ac:dyDescent="0.25">
      <c r="A663" s="8" t="s">
        <v>2950</v>
      </c>
      <c r="B663" s="8">
        <v>3</v>
      </c>
      <c r="C663" s="8" t="s">
        <v>916</v>
      </c>
      <c r="D663" s="8" t="s">
        <v>940</v>
      </c>
      <c r="E663" s="8" t="s">
        <v>1819</v>
      </c>
    </row>
    <row r="664" spans="1:9" x14ac:dyDescent="0.25">
      <c r="A664" s="8" t="s">
        <v>2950</v>
      </c>
      <c r="B664" s="8">
        <v>4</v>
      </c>
      <c r="C664" s="8" t="s">
        <v>917</v>
      </c>
      <c r="D664" s="8" t="s">
        <v>944</v>
      </c>
      <c r="E664" s="8" t="s">
        <v>1820</v>
      </c>
    </row>
    <row r="665" spans="1:9" x14ac:dyDescent="0.25">
      <c r="A665" s="8" t="s">
        <v>2950</v>
      </c>
      <c r="B665" s="8">
        <v>5</v>
      </c>
      <c r="C665" s="8" t="s">
        <v>918</v>
      </c>
      <c r="D665" s="8" t="s">
        <v>941</v>
      </c>
      <c r="E665" s="8" t="s">
        <v>1821</v>
      </c>
    </row>
    <row r="666" spans="1:9" x14ac:dyDescent="0.25">
      <c r="A666" s="8" t="s">
        <v>2950</v>
      </c>
      <c r="B666" s="8">
        <v>6</v>
      </c>
      <c r="C666" s="8" t="s">
        <v>919</v>
      </c>
      <c r="D666" s="8" t="s">
        <v>945</v>
      </c>
      <c r="E666" s="8" t="s">
        <v>1822</v>
      </c>
    </row>
    <row r="667" spans="1:9" x14ac:dyDescent="0.25">
      <c r="A667" s="8" t="s">
        <v>2950</v>
      </c>
      <c r="B667" s="8">
        <v>96</v>
      </c>
      <c r="C667" s="8" t="s">
        <v>920</v>
      </c>
      <c r="D667" s="8" t="s">
        <v>942</v>
      </c>
      <c r="E667" s="8" t="s">
        <v>1823</v>
      </c>
    </row>
    <row r="668" spans="1:9" x14ac:dyDescent="0.25">
      <c r="A668" s="10"/>
      <c r="B668" s="10"/>
      <c r="C668" s="10"/>
      <c r="D668" s="10"/>
      <c r="E668" s="10"/>
      <c r="F668" s="10"/>
      <c r="G668" s="10"/>
      <c r="H668" s="10"/>
      <c r="I668" s="10"/>
    </row>
    <row r="669" spans="1:9" x14ac:dyDescent="0.25">
      <c r="A669" s="8" t="s">
        <v>2951</v>
      </c>
      <c r="B669" s="8">
        <v>1</v>
      </c>
      <c r="C669" s="8" t="s">
        <v>921</v>
      </c>
      <c r="D669" s="8" t="s">
        <v>953</v>
      </c>
      <c r="E669" s="8" t="s">
        <v>1824</v>
      </c>
    </row>
    <row r="670" spans="1:9" x14ac:dyDescent="0.25">
      <c r="A670" s="8" t="s">
        <v>2951</v>
      </c>
      <c r="B670" s="8">
        <v>2</v>
      </c>
      <c r="C670" s="8" t="s">
        <v>922</v>
      </c>
      <c r="D670" s="8" t="s">
        <v>946</v>
      </c>
      <c r="E670" s="8" t="s">
        <v>1825</v>
      </c>
    </row>
    <row r="671" spans="1:9" x14ac:dyDescent="0.25">
      <c r="A671" s="8" t="s">
        <v>2951</v>
      </c>
      <c r="B671" s="8">
        <v>3</v>
      </c>
      <c r="C671" s="8" t="s">
        <v>923</v>
      </c>
      <c r="D671" s="8" t="s">
        <v>954</v>
      </c>
      <c r="E671" s="8" t="s">
        <v>1826</v>
      </c>
    </row>
    <row r="672" spans="1:9" x14ac:dyDescent="0.25">
      <c r="A672" s="8" t="s">
        <v>2951</v>
      </c>
      <c r="B672" s="8">
        <v>4</v>
      </c>
      <c r="C672" s="8" t="s">
        <v>924</v>
      </c>
      <c r="D672" s="8" t="s">
        <v>955</v>
      </c>
      <c r="E672" s="8" t="s">
        <v>1827</v>
      </c>
    </row>
    <row r="673" spans="1:9" x14ac:dyDescent="0.25">
      <c r="A673" s="8" t="s">
        <v>2951</v>
      </c>
      <c r="B673" s="8">
        <v>5</v>
      </c>
      <c r="C673" s="8" t="s">
        <v>925</v>
      </c>
      <c r="D673" s="8" t="s">
        <v>947</v>
      </c>
      <c r="E673" s="8" t="s">
        <v>1828</v>
      </c>
    </row>
    <row r="674" spans="1:9" x14ac:dyDescent="0.25">
      <c r="A674" s="8" t="s">
        <v>2951</v>
      </c>
      <c r="B674" s="8">
        <v>6</v>
      </c>
      <c r="C674" s="8" t="s">
        <v>926</v>
      </c>
      <c r="D674" s="8" t="s">
        <v>948</v>
      </c>
      <c r="E674" s="8" t="s">
        <v>1829</v>
      </c>
    </row>
    <row r="675" spans="1:9" x14ac:dyDescent="0.25">
      <c r="A675" s="8" t="s">
        <v>2951</v>
      </c>
      <c r="B675" s="8">
        <v>7</v>
      </c>
      <c r="C675" s="8" t="s">
        <v>927</v>
      </c>
      <c r="D675" s="8" t="s">
        <v>949</v>
      </c>
      <c r="E675" s="8" t="s">
        <v>1830</v>
      </c>
    </row>
    <row r="676" spans="1:9" x14ac:dyDescent="0.25">
      <c r="A676" s="8" t="s">
        <v>2951</v>
      </c>
      <c r="B676" s="8">
        <v>8</v>
      </c>
      <c r="C676" s="8" t="s">
        <v>928</v>
      </c>
      <c r="D676" s="8" t="s">
        <v>950</v>
      </c>
      <c r="E676" s="8" t="s">
        <v>1831</v>
      </c>
    </row>
    <row r="677" spans="1:9" x14ac:dyDescent="0.25">
      <c r="A677" s="8" t="s">
        <v>2951</v>
      </c>
      <c r="B677" s="8">
        <v>9</v>
      </c>
      <c r="C677" s="8" t="s">
        <v>929</v>
      </c>
      <c r="D677" s="8" t="s">
        <v>951</v>
      </c>
      <c r="E677" s="8" t="s">
        <v>1832</v>
      </c>
    </row>
    <row r="678" spans="1:9" x14ac:dyDescent="0.25">
      <c r="A678" s="8" t="s">
        <v>2951</v>
      </c>
      <c r="B678" s="8">
        <v>96</v>
      </c>
      <c r="C678" s="8" t="s">
        <v>913</v>
      </c>
      <c r="D678" s="8" t="s">
        <v>952</v>
      </c>
      <c r="E678" s="8" t="s">
        <v>1816</v>
      </c>
    </row>
    <row r="679" spans="1:9" x14ac:dyDescent="0.25">
      <c r="A679" s="10"/>
      <c r="B679" s="10"/>
      <c r="C679" s="10"/>
      <c r="D679" s="10"/>
      <c r="E679" s="10"/>
      <c r="F679" s="10"/>
      <c r="G679" s="10"/>
      <c r="H679" s="10"/>
      <c r="I679" s="10"/>
    </row>
    <row r="680" spans="1:9" x14ac:dyDescent="0.25">
      <c r="A680" s="8" t="s">
        <v>2952</v>
      </c>
      <c r="B680" s="8">
        <v>1</v>
      </c>
      <c r="C680" s="8" t="s">
        <v>930</v>
      </c>
      <c r="D680" s="8" t="s">
        <v>962</v>
      </c>
      <c r="E680" s="8" t="s">
        <v>1833</v>
      </c>
    </row>
    <row r="681" spans="1:9" x14ac:dyDescent="0.25">
      <c r="A681" s="8" t="s">
        <v>2952</v>
      </c>
      <c r="B681" s="8">
        <v>2</v>
      </c>
      <c r="C681" s="8" t="s">
        <v>931</v>
      </c>
      <c r="D681" s="8" t="s">
        <v>956</v>
      </c>
      <c r="E681" s="8" t="s">
        <v>1834</v>
      </c>
    </row>
    <row r="682" spans="1:9" x14ac:dyDescent="0.25">
      <c r="A682" s="8" t="s">
        <v>2952</v>
      </c>
      <c r="B682" s="8">
        <v>3</v>
      </c>
      <c r="C682" s="8" t="s">
        <v>932</v>
      </c>
      <c r="D682" s="8" t="s">
        <v>957</v>
      </c>
      <c r="E682" s="8" t="s">
        <v>1835</v>
      </c>
    </row>
    <row r="683" spans="1:9" x14ac:dyDescent="0.25">
      <c r="A683" s="8" t="s">
        <v>2952</v>
      </c>
      <c r="B683" s="8">
        <v>4</v>
      </c>
      <c r="C683" s="8" t="s">
        <v>933</v>
      </c>
      <c r="D683" s="8" t="s">
        <v>958</v>
      </c>
      <c r="E683" s="8" t="s">
        <v>1836</v>
      </c>
    </row>
    <row r="684" spans="1:9" x14ac:dyDescent="0.25">
      <c r="A684" s="8" t="s">
        <v>2952</v>
      </c>
      <c r="B684" s="8">
        <v>5</v>
      </c>
      <c r="C684" s="8" t="s">
        <v>934</v>
      </c>
      <c r="D684" s="8" t="s">
        <v>959</v>
      </c>
      <c r="E684" s="8" t="s">
        <v>1837</v>
      </c>
    </row>
    <row r="685" spans="1:9" x14ac:dyDescent="0.25">
      <c r="A685" s="8" t="s">
        <v>2952</v>
      </c>
      <c r="B685" s="8">
        <v>6</v>
      </c>
      <c r="C685" s="8" t="s">
        <v>935</v>
      </c>
      <c r="D685" s="8" t="s">
        <v>960</v>
      </c>
      <c r="E685" s="8" t="s">
        <v>1838</v>
      </c>
    </row>
    <row r="686" spans="1:9" x14ac:dyDescent="0.25">
      <c r="A686" s="8" t="s">
        <v>2952</v>
      </c>
      <c r="B686" s="8">
        <v>7</v>
      </c>
      <c r="C686" s="8" t="s">
        <v>936</v>
      </c>
      <c r="D686" s="8" t="s">
        <v>961</v>
      </c>
      <c r="E686" s="8" t="s">
        <v>1839</v>
      </c>
    </row>
    <row r="687" spans="1:9" x14ac:dyDescent="0.25">
      <c r="A687" s="8" t="s">
        <v>2952</v>
      </c>
      <c r="B687" s="8">
        <v>8</v>
      </c>
      <c r="C687" s="8" t="s">
        <v>937</v>
      </c>
      <c r="D687" s="8" t="s">
        <v>2953</v>
      </c>
      <c r="E687" s="8" t="s">
        <v>1840</v>
      </c>
    </row>
    <row r="688" spans="1:9" x14ac:dyDescent="0.25">
      <c r="A688" s="8" t="s">
        <v>2952</v>
      </c>
      <c r="B688" s="8">
        <v>9</v>
      </c>
      <c r="C688" s="8" t="s">
        <v>938</v>
      </c>
      <c r="D688" s="8" t="s">
        <v>963</v>
      </c>
      <c r="E688" s="8" t="s">
        <v>1841</v>
      </c>
    </row>
    <row r="689" spans="1:9" x14ac:dyDescent="0.25">
      <c r="A689" s="8" t="s">
        <v>2952</v>
      </c>
      <c r="B689" s="8">
        <v>96</v>
      </c>
      <c r="C689" s="8" t="s">
        <v>78</v>
      </c>
      <c r="D689" s="8" t="s">
        <v>964</v>
      </c>
      <c r="E689" s="8" t="s">
        <v>1842</v>
      </c>
    </row>
    <row r="690" spans="1:9" x14ac:dyDescent="0.25">
      <c r="A690" s="10"/>
      <c r="B690" s="10"/>
      <c r="C690" s="10"/>
      <c r="D690" s="10"/>
      <c r="E690" s="10"/>
      <c r="F690" s="10"/>
      <c r="G690" s="10"/>
      <c r="H690" s="10"/>
      <c r="I690" s="10"/>
    </row>
    <row r="691" spans="1:9" x14ac:dyDescent="0.25">
      <c r="A691" s="8" t="s">
        <v>2954</v>
      </c>
      <c r="B691" s="8">
        <v>1</v>
      </c>
      <c r="C691" s="8" t="s">
        <v>2955</v>
      </c>
      <c r="D691" s="8" t="s">
        <v>2956</v>
      </c>
      <c r="E691" s="8" t="s">
        <v>2957</v>
      </c>
    </row>
    <row r="692" spans="1:9" x14ac:dyDescent="0.25">
      <c r="A692" s="8" t="s">
        <v>2954</v>
      </c>
      <c r="B692" s="8">
        <v>2</v>
      </c>
      <c r="C692" s="8">
        <v>2</v>
      </c>
      <c r="D692" s="8">
        <v>2</v>
      </c>
      <c r="E692" s="8">
        <v>2</v>
      </c>
    </row>
    <row r="693" spans="1:9" x14ac:dyDescent="0.25">
      <c r="A693" s="8" t="s">
        <v>2954</v>
      </c>
      <c r="B693" s="8">
        <v>3</v>
      </c>
      <c r="C693" s="8">
        <v>3</v>
      </c>
      <c r="D693" s="8">
        <v>3</v>
      </c>
      <c r="E693" s="8">
        <v>3</v>
      </c>
    </row>
    <row r="694" spans="1:9" x14ac:dyDescent="0.25">
      <c r="A694" s="8" t="s">
        <v>2954</v>
      </c>
      <c r="B694" s="8">
        <v>4</v>
      </c>
      <c r="C694" s="8">
        <v>4</v>
      </c>
      <c r="D694" s="8">
        <v>4</v>
      </c>
      <c r="E694" s="8">
        <v>4</v>
      </c>
    </row>
    <row r="695" spans="1:9" x14ac:dyDescent="0.25">
      <c r="A695" s="8" t="s">
        <v>2954</v>
      </c>
      <c r="B695" s="8">
        <v>5</v>
      </c>
      <c r="C695" s="8">
        <v>5</v>
      </c>
      <c r="D695" s="8">
        <v>5</v>
      </c>
      <c r="E695" s="8">
        <v>5</v>
      </c>
    </row>
    <row r="696" spans="1:9" x14ac:dyDescent="0.25">
      <c r="A696" s="8" t="s">
        <v>2954</v>
      </c>
      <c r="B696" s="8">
        <v>6</v>
      </c>
      <c r="C696" s="8">
        <v>6</v>
      </c>
      <c r="D696" s="8">
        <v>6</v>
      </c>
      <c r="E696" s="8">
        <v>6</v>
      </c>
    </row>
    <row r="697" spans="1:9" x14ac:dyDescent="0.25">
      <c r="A697" s="8" t="s">
        <v>2954</v>
      </c>
      <c r="B697" s="8">
        <v>7</v>
      </c>
      <c r="C697" s="8">
        <v>7</v>
      </c>
      <c r="D697" s="8">
        <v>7</v>
      </c>
      <c r="E697" s="8">
        <v>7</v>
      </c>
    </row>
    <row r="698" spans="1:9" x14ac:dyDescent="0.25">
      <c r="A698" s="8" t="s">
        <v>2954</v>
      </c>
      <c r="B698" s="8">
        <v>8</v>
      </c>
      <c r="C698" s="8">
        <v>8</v>
      </c>
      <c r="D698" s="8">
        <v>8</v>
      </c>
      <c r="E698" s="8">
        <v>8</v>
      </c>
    </row>
    <row r="699" spans="1:9" x14ac:dyDescent="0.25">
      <c r="A699" s="8" t="s">
        <v>2954</v>
      </c>
      <c r="B699" s="8">
        <v>9</v>
      </c>
      <c r="C699" s="8">
        <v>9</v>
      </c>
      <c r="D699" s="8">
        <v>9</v>
      </c>
      <c r="E699" s="8">
        <v>9</v>
      </c>
    </row>
    <row r="700" spans="1:9" x14ac:dyDescent="0.25">
      <c r="A700" s="8" t="s">
        <v>2954</v>
      </c>
      <c r="B700" s="8">
        <v>10</v>
      </c>
      <c r="C700" s="8" t="s">
        <v>2958</v>
      </c>
      <c r="D700" s="8" t="s">
        <v>2959</v>
      </c>
      <c r="E700" s="8" t="s">
        <v>2960</v>
      </c>
    </row>
    <row r="701" spans="1:9" x14ac:dyDescent="0.25">
      <c r="A701" s="10"/>
      <c r="B701" s="10"/>
      <c r="C701" s="10"/>
      <c r="D701" s="10"/>
      <c r="E701" s="10"/>
      <c r="F701" s="10"/>
      <c r="G701" s="10"/>
      <c r="H701" s="10"/>
      <c r="I701" s="10"/>
    </row>
    <row r="702" spans="1:9" x14ac:dyDescent="0.25">
      <c r="A702" s="8" t="s">
        <v>2961</v>
      </c>
      <c r="B702" s="7">
        <v>1</v>
      </c>
      <c r="C702" s="7" t="s">
        <v>1856</v>
      </c>
      <c r="D702" s="15" t="s">
        <v>1857</v>
      </c>
      <c r="E702" s="15" t="s">
        <v>1858</v>
      </c>
    </row>
    <row r="703" spans="1:9" x14ac:dyDescent="0.25">
      <c r="A703" s="8" t="s">
        <v>2961</v>
      </c>
      <c r="B703" s="7">
        <v>2</v>
      </c>
      <c r="C703" s="7" t="s">
        <v>574</v>
      </c>
      <c r="D703" s="15" t="s">
        <v>576</v>
      </c>
      <c r="E703" s="8" t="s">
        <v>1859</v>
      </c>
    </row>
    <row r="704" spans="1:9" x14ac:dyDescent="0.25">
      <c r="A704" s="8" t="s">
        <v>2961</v>
      </c>
      <c r="B704" s="7">
        <v>3</v>
      </c>
      <c r="C704" s="7" t="s">
        <v>575</v>
      </c>
      <c r="D704" s="15" t="s">
        <v>577</v>
      </c>
      <c r="E704" s="8" t="s">
        <v>1860</v>
      </c>
    </row>
    <row r="705" spans="1:9" x14ac:dyDescent="0.25">
      <c r="A705" s="10"/>
      <c r="B705" s="10"/>
      <c r="C705" s="10"/>
      <c r="D705" s="10"/>
      <c r="E705" s="10"/>
      <c r="F705" s="10"/>
      <c r="G705" s="10"/>
      <c r="H705" s="10"/>
      <c r="I705" s="10"/>
    </row>
    <row r="706" spans="1:9" x14ac:dyDescent="0.25">
      <c r="A706" s="8" t="s">
        <v>2962</v>
      </c>
      <c r="B706" s="8">
        <v>1</v>
      </c>
      <c r="C706" s="8" t="s">
        <v>834</v>
      </c>
      <c r="D706" s="8" t="s">
        <v>837</v>
      </c>
      <c r="E706" s="8" t="s">
        <v>837</v>
      </c>
    </row>
    <row r="707" spans="1:9" x14ac:dyDescent="0.25">
      <c r="A707" s="8" t="s">
        <v>2962</v>
      </c>
      <c r="B707" s="8">
        <v>2</v>
      </c>
      <c r="C707" s="8" t="s">
        <v>835</v>
      </c>
      <c r="D707" s="8" t="s">
        <v>838</v>
      </c>
      <c r="E707" s="8" t="s">
        <v>838</v>
      </c>
    </row>
    <row r="708" spans="1:9" x14ac:dyDescent="0.25">
      <c r="A708" s="8" t="s">
        <v>2962</v>
      </c>
      <c r="B708" s="8">
        <v>3</v>
      </c>
      <c r="C708" s="8" t="s">
        <v>836</v>
      </c>
      <c r="D708" s="8" t="s">
        <v>839</v>
      </c>
      <c r="E708" s="8" t="s">
        <v>839</v>
      </c>
    </row>
    <row r="709" spans="1:9" x14ac:dyDescent="0.25">
      <c r="A709" s="8" t="s">
        <v>2962</v>
      </c>
      <c r="B709" s="8">
        <v>4</v>
      </c>
      <c r="C709" s="8" t="s">
        <v>323</v>
      </c>
      <c r="D709" s="8" t="s">
        <v>840</v>
      </c>
      <c r="E709" s="8" t="s">
        <v>840</v>
      </c>
    </row>
    <row r="710" spans="1:9" x14ac:dyDescent="0.25">
      <c r="A710" s="8" t="s">
        <v>2962</v>
      </c>
      <c r="B710" s="8">
        <v>5</v>
      </c>
      <c r="C710" s="8" t="s">
        <v>675</v>
      </c>
      <c r="D710" s="8" t="s">
        <v>690</v>
      </c>
      <c r="E710" s="8" t="s">
        <v>690</v>
      </c>
    </row>
    <row r="711" spans="1:9" x14ac:dyDescent="0.25">
      <c r="A711" s="10"/>
      <c r="B711" s="10"/>
      <c r="C711" s="10"/>
      <c r="D711" s="10"/>
      <c r="E711" s="10"/>
      <c r="F711" s="10"/>
      <c r="G711" s="10"/>
      <c r="H711" s="10"/>
      <c r="I711" s="10"/>
    </row>
    <row r="712" spans="1:9" x14ac:dyDescent="0.25">
      <c r="A712" s="8" t="s">
        <v>3061</v>
      </c>
      <c r="B712" s="8">
        <v>1</v>
      </c>
      <c r="C712" s="8" t="s">
        <v>3064</v>
      </c>
      <c r="D712" s="8" t="s">
        <v>3069</v>
      </c>
      <c r="E712" s="8" t="s">
        <v>3077</v>
      </c>
    </row>
    <row r="713" spans="1:9" x14ac:dyDescent="0.25">
      <c r="A713" s="8" t="s">
        <v>3061</v>
      </c>
      <c r="B713" s="8">
        <v>2</v>
      </c>
      <c r="C713" s="8" t="s">
        <v>3065</v>
      </c>
      <c r="D713" s="8" t="s">
        <v>3070</v>
      </c>
      <c r="E713" s="8" t="s">
        <v>3078</v>
      </c>
    </row>
    <row r="714" spans="1:9" x14ac:dyDescent="0.25">
      <c r="A714" s="8" t="s">
        <v>3061</v>
      </c>
      <c r="B714" s="8">
        <v>3</v>
      </c>
      <c r="C714" s="8" t="s">
        <v>3062</v>
      </c>
      <c r="D714" s="8" t="s">
        <v>3071</v>
      </c>
      <c r="E714" s="8" t="s">
        <v>3079</v>
      </c>
    </row>
    <row r="715" spans="1:9" x14ac:dyDescent="0.25">
      <c r="A715" s="8" t="s">
        <v>3061</v>
      </c>
      <c r="B715" s="8">
        <v>4</v>
      </c>
      <c r="C715" s="8" t="s">
        <v>3066</v>
      </c>
      <c r="D715" s="8" t="s">
        <v>3072</v>
      </c>
      <c r="E715" s="8" t="s">
        <v>3080</v>
      </c>
    </row>
    <row r="716" spans="1:9" x14ac:dyDescent="0.25">
      <c r="A716" s="8" t="s">
        <v>3061</v>
      </c>
      <c r="B716" s="8">
        <v>5</v>
      </c>
      <c r="C716" s="8" t="s">
        <v>3067</v>
      </c>
      <c r="D716" s="8" t="s">
        <v>3073</v>
      </c>
      <c r="E716" s="8" t="s">
        <v>3076</v>
      </c>
    </row>
    <row r="717" spans="1:9" x14ac:dyDescent="0.25">
      <c r="A717" s="8" t="s">
        <v>3061</v>
      </c>
      <c r="B717" s="8">
        <v>6</v>
      </c>
      <c r="C717" s="8" t="s">
        <v>3068</v>
      </c>
      <c r="D717" s="8" t="s">
        <v>3074</v>
      </c>
      <c r="E717" s="8" t="s">
        <v>3081</v>
      </c>
    </row>
    <row r="718" spans="1:9" x14ac:dyDescent="0.25">
      <c r="A718" s="8" t="s">
        <v>3061</v>
      </c>
      <c r="B718" s="8">
        <v>7</v>
      </c>
      <c r="C718" s="8" t="s">
        <v>3063</v>
      </c>
      <c r="D718" s="8" t="s">
        <v>3075</v>
      </c>
      <c r="E718" s="8" t="s">
        <v>3082</v>
      </c>
    </row>
    <row r="719" spans="1:9" x14ac:dyDescent="0.25">
      <c r="A719" s="10"/>
      <c r="B719" s="10"/>
      <c r="C719" s="10"/>
      <c r="D719" s="10"/>
      <c r="E719" s="10"/>
      <c r="F719" s="10"/>
      <c r="G719" s="10"/>
      <c r="H719" s="10"/>
      <c r="I719" s="10"/>
    </row>
    <row r="720" spans="1:9" customFormat="1" ht="15.75" customHeight="1" x14ac:dyDescent="0.25">
      <c r="A720" s="8" t="s">
        <v>3331</v>
      </c>
      <c r="B720" s="8">
        <v>1</v>
      </c>
      <c r="C720" s="8" t="s">
        <v>3332</v>
      </c>
      <c r="D720" s="8" t="s">
        <v>3335</v>
      </c>
      <c r="E720" s="8" t="s">
        <v>3339</v>
      </c>
      <c r="F720" s="8"/>
      <c r="G720" s="8"/>
      <c r="H720" s="8"/>
      <c r="I720" s="8"/>
    </row>
    <row r="721" spans="1:9" customFormat="1" ht="15.75" customHeight="1" x14ac:dyDescent="0.25">
      <c r="A721" s="8" t="s">
        <v>3331</v>
      </c>
      <c r="B721" s="8">
        <v>2</v>
      </c>
      <c r="C721" s="8" t="s">
        <v>3333</v>
      </c>
      <c r="D721" s="8" t="s">
        <v>3336</v>
      </c>
      <c r="E721" s="8" t="s">
        <v>3340</v>
      </c>
      <c r="F721" s="8"/>
      <c r="G721" s="8"/>
      <c r="H721" s="8"/>
      <c r="I721" s="8"/>
    </row>
    <row r="722" spans="1:9" customFormat="1" ht="15.75" customHeight="1" x14ac:dyDescent="0.25">
      <c r="A722" s="8" t="s">
        <v>3331</v>
      </c>
      <c r="B722" s="8">
        <v>3</v>
      </c>
      <c r="C722" s="8" t="s">
        <v>3334</v>
      </c>
      <c r="D722" s="8" t="s">
        <v>3337</v>
      </c>
      <c r="E722" s="8" t="s">
        <v>3341</v>
      </c>
      <c r="F722" s="8"/>
      <c r="G722" s="8"/>
      <c r="H722" s="8"/>
      <c r="I722" s="8"/>
    </row>
    <row r="723" spans="1:9" customFormat="1" ht="15.75" customHeight="1" x14ac:dyDescent="0.25">
      <c r="A723" s="8" t="s">
        <v>3331</v>
      </c>
      <c r="B723" s="8">
        <v>4</v>
      </c>
      <c r="C723" s="8" t="s">
        <v>643</v>
      </c>
      <c r="D723" s="8" t="s">
        <v>3338</v>
      </c>
      <c r="E723" s="8" t="s">
        <v>3342</v>
      </c>
      <c r="F723" s="8"/>
      <c r="G723" s="8"/>
      <c r="H723" s="8"/>
      <c r="I723" s="8"/>
    </row>
    <row r="724" spans="1:9" customFormat="1" ht="15.75" customHeight="1" x14ac:dyDescent="0.25">
      <c r="A724" s="8" t="s">
        <v>3331</v>
      </c>
      <c r="B724" s="8">
        <v>99</v>
      </c>
      <c r="C724" s="8" t="s">
        <v>846</v>
      </c>
      <c r="D724" s="8" t="s">
        <v>3443</v>
      </c>
      <c r="E724" s="8" t="s">
        <v>1191</v>
      </c>
      <c r="F724" s="8"/>
      <c r="G724" s="8"/>
      <c r="H724" s="8"/>
      <c r="I724" s="8"/>
    </row>
    <row r="725" spans="1:9" customFormat="1" ht="15.75" customHeight="1" x14ac:dyDescent="0.25">
      <c r="A725" s="8" t="s">
        <v>3331</v>
      </c>
      <c r="B725" s="8">
        <v>98</v>
      </c>
      <c r="C725" s="8" t="s">
        <v>3441</v>
      </c>
      <c r="D725" s="8" t="s">
        <v>3442</v>
      </c>
      <c r="E725" s="8" t="s">
        <v>3444</v>
      </c>
      <c r="F725" s="8"/>
      <c r="G725" s="8"/>
      <c r="H725" s="8"/>
      <c r="I725" s="8"/>
    </row>
    <row r="726" spans="1:9" x14ac:dyDescent="0.25">
      <c r="A726" s="10"/>
      <c r="B726" s="10"/>
      <c r="C726" s="10"/>
      <c r="D726" s="10"/>
      <c r="E726" s="10"/>
      <c r="F726" s="10"/>
      <c r="G726" s="10"/>
      <c r="H726" s="10"/>
      <c r="I726" s="10"/>
    </row>
    <row r="727" spans="1:9" customFormat="1" ht="15" x14ac:dyDescent="0.25">
      <c r="A727" s="8" t="s">
        <v>3350</v>
      </c>
      <c r="B727" s="8">
        <v>1</v>
      </c>
      <c r="C727" s="8" t="s">
        <v>3343</v>
      </c>
      <c r="D727" s="8" t="s">
        <v>3346</v>
      </c>
      <c r="E727" s="8" t="s">
        <v>3348</v>
      </c>
      <c r="F727" s="8"/>
      <c r="G727" s="8"/>
      <c r="H727" s="8"/>
      <c r="I727" s="8"/>
    </row>
    <row r="728" spans="1:9" customFormat="1" ht="15.75" customHeight="1" x14ac:dyDescent="0.25">
      <c r="A728" s="8" t="s">
        <v>3350</v>
      </c>
      <c r="B728" s="8">
        <v>2</v>
      </c>
      <c r="C728" s="8" t="s">
        <v>3344</v>
      </c>
      <c r="D728" s="8" t="s">
        <v>2082</v>
      </c>
      <c r="E728" s="8" t="s">
        <v>3340</v>
      </c>
      <c r="F728" s="8"/>
      <c r="G728" s="8"/>
      <c r="H728" s="8"/>
      <c r="I728" s="8"/>
    </row>
    <row r="729" spans="1:9" customFormat="1" ht="15.75" customHeight="1" x14ac:dyDescent="0.25">
      <c r="A729" s="8" t="s">
        <v>3350</v>
      </c>
      <c r="B729" s="8">
        <v>3</v>
      </c>
      <c r="C729" s="8" t="s">
        <v>3334</v>
      </c>
      <c r="D729" s="8" t="s">
        <v>3337</v>
      </c>
      <c r="E729" s="8" t="s">
        <v>3341</v>
      </c>
      <c r="F729" s="8"/>
      <c r="G729" s="8"/>
      <c r="H729" s="8"/>
      <c r="I729" s="8"/>
    </row>
    <row r="730" spans="1:9" customFormat="1" ht="15.75" customHeight="1" x14ac:dyDescent="0.25">
      <c r="A730" s="8" t="s">
        <v>3350</v>
      </c>
      <c r="B730" s="8">
        <v>4</v>
      </c>
      <c r="C730" s="8" t="s">
        <v>3345</v>
      </c>
      <c r="D730" s="8" t="s">
        <v>3347</v>
      </c>
      <c r="E730" s="8" t="s">
        <v>3349</v>
      </c>
      <c r="F730" s="8"/>
      <c r="G730" s="8"/>
      <c r="H730" s="8"/>
      <c r="I730" s="8"/>
    </row>
    <row r="731" spans="1:9" customFormat="1" ht="15.75" customHeight="1" x14ac:dyDescent="0.25">
      <c r="A731" s="8" t="s">
        <v>3350</v>
      </c>
      <c r="B731" s="8">
        <v>99</v>
      </c>
      <c r="C731" s="8" t="s">
        <v>846</v>
      </c>
      <c r="D731" s="8" t="s">
        <v>3443</v>
      </c>
      <c r="E731" s="8" t="s">
        <v>1191</v>
      </c>
      <c r="F731" s="8"/>
      <c r="G731" s="8"/>
      <c r="H731" s="8"/>
      <c r="I731" s="8"/>
    </row>
    <row r="732" spans="1:9" customFormat="1" ht="15.75" customHeight="1" x14ac:dyDescent="0.25">
      <c r="A732" s="8" t="s">
        <v>3350</v>
      </c>
      <c r="B732" s="8">
        <v>98</v>
      </c>
      <c r="C732" s="8" t="s">
        <v>3441</v>
      </c>
      <c r="D732" s="8" t="s">
        <v>3442</v>
      </c>
      <c r="E732" s="8" t="s">
        <v>3444</v>
      </c>
      <c r="F732" s="8"/>
      <c r="G732" s="8"/>
      <c r="H732" s="8"/>
      <c r="I732" s="8"/>
    </row>
    <row r="733" spans="1:9" x14ac:dyDescent="0.25">
      <c r="A733" s="10"/>
      <c r="B733" s="10"/>
      <c r="C733" s="10"/>
      <c r="D733" s="10"/>
      <c r="E733" s="10"/>
      <c r="F733" s="10"/>
      <c r="G733" s="10"/>
      <c r="H733" s="10"/>
      <c r="I733" s="10"/>
    </row>
    <row r="734" spans="1:9" customFormat="1" ht="15.75" customHeight="1" x14ac:dyDescent="0.25">
      <c r="A734" s="8" t="s">
        <v>3351</v>
      </c>
      <c r="B734" s="8">
        <v>1</v>
      </c>
      <c r="C734" s="8" t="s">
        <v>883</v>
      </c>
      <c r="D734" s="8" t="s">
        <v>898</v>
      </c>
      <c r="E734" s="8" t="s">
        <v>3355</v>
      </c>
      <c r="F734" s="8"/>
    </row>
    <row r="735" spans="1:9" customFormat="1" ht="15" x14ac:dyDescent="0.25">
      <c r="A735" s="8" t="s">
        <v>3351</v>
      </c>
      <c r="B735" s="8">
        <v>2</v>
      </c>
      <c r="C735" s="8" t="s">
        <v>3352</v>
      </c>
      <c r="D735" s="8" t="s">
        <v>3353</v>
      </c>
      <c r="E735" s="8" t="s">
        <v>1772</v>
      </c>
      <c r="F735" s="8"/>
    </row>
    <row r="736" spans="1:9" customFormat="1" ht="15.75" customHeight="1" x14ac:dyDescent="0.25">
      <c r="A736" s="8" t="s">
        <v>3351</v>
      </c>
      <c r="B736" s="8">
        <v>3</v>
      </c>
      <c r="C736" s="8" t="s">
        <v>880</v>
      </c>
      <c r="D736" s="8" t="s">
        <v>3354</v>
      </c>
      <c r="E736" s="8" t="s">
        <v>3356</v>
      </c>
      <c r="F736" s="8"/>
    </row>
    <row r="737" spans="1:9" customFormat="1" ht="15.75" customHeight="1" x14ac:dyDescent="0.25">
      <c r="A737" s="8" t="s">
        <v>3351</v>
      </c>
      <c r="B737" s="8">
        <v>4</v>
      </c>
      <c r="C737" s="8" t="s">
        <v>879</v>
      </c>
      <c r="D737" s="8" t="s">
        <v>2744</v>
      </c>
      <c r="E737" s="8" t="s">
        <v>3357</v>
      </c>
      <c r="F737" s="8"/>
    </row>
    <row r="738" spans="1:9" customFormat="1" ht="15.75" customHeight="1" x14ac:dyDescent="0.25">
      <c r="A738" s="8" t="s">
        <v>3351</v>
      </c>
      <c r="B738" s="8">
        <v>99</v>
      </c>
      <c r="C738" s="8" t="s">
        <v>846</v>
      </c>
      <c r="D738" s="8" t="s">
        <v>3443</v>
      </c>
      <c r="E738" s="8" t="s">
        <v>1191</v>
      </c>
      <c r="F738" s="8"/>
    </row>
    <row r="739" spans="1:9" customFormat="1" ht="15.75" customHeight="1" x14ac:dyDescent="0.25">
      <c r="A739" s="8" t="s">
        <v>3351</v>
      </c>
      <c r="B739" s="8">
        <v>98</v>
      </c>
      <c r="C739" s="8" t="s">
        <v>3441</v>
      </c>
      <c r="D739" s="8" t="s">
        <v>3442</v>
      </c>
      <c r="E739" s="8" t="s">
        <v>3444</v>
      </c>
      <c r="F739" s="8"/>
    </row>
    <row r="740" spans="1:9" x14ac:dyDescent="0.25">
      <c r="A740" s="10"/>
      <c r="B740" s="10"/>
      <c r="C740" s="10"/>
      <c r="D740" s="10"/>
      <c r="E740" s="10"/>
      <c r="F740" s="10"/>
      <c r="G740" s="10"/>
      <c r="H740" s="10"/>
      <c r="I740" s="10"/>
    </row>
    <row r="741" spans="1:9" customFormat="1" ht="15.75" customHeight="1" x14ac:dyDescent="0.25">
      <c r="A741" s="8" t="s">
        <v>3358</v>
      </c>
      <c r="B741" s="8">
        <v>1</v>
      </c>
      <c r="C741" s="8" t="s">
        <v>3359</v>
      </c>
      <c r="D741" s="8" t="s">
        <v>3360</v>
      </c>
      <c r="E741" s="8" t="s">
        <v>1332</v>
      </c>
    </row>
    <row r="742" spans="1:9" customFormat="1" ht="15" x14ac:dyDescent="0.25">
      <c r="A742" s="8" t="s">
        <v>3358</v>
      </c>
      <c r="B742" s="8">
        <v>2</v>
      </c>
      <c r="C742" s="8" t="s">
        <v>144</v>
      </c>
      <c r="D742" s="8" t="s">
        <v>145</v>
      </c>
      <c r="E742" s="8" t="s">
        <v>1878</v>
      </c>
    </row>
    <row r="743" spans="1:9" x14ac:dyDescent="0.25">
      <c r="A743" s="10"/>
      <c r="B743" s="10"/>
      <c r="C743" s="10"/>
      <c r="D743" s="10"/>
      <c r="E743" s="10"/>
      <c r="F743" s="10"/>
      <c r="G743" s="10"/>
      <c r="H743" s="10"/>
      <c r="I743" s="10"/>
    </row>
    <row r="744" spans="1:9" customFormat="1" ht="15.75" customHeight="1" x14ac:dyDescent="0.25">
      <c r="A744" s="8" t="s">
        <v>3480</v>
      </c>
      <c r="B744">
        <v>1</v>
      </c>
      <c r="C744" t="s">
        <v>3481</v>
      </c>
      <c r="D744" t="s">
        <v>3486</v>
      </c>
      <c r="E744" t="s">
        <v>3491</v>
      </c>
    </row>
    <row r="745" spans="1:9" customFormat="1" ht="15.75" customHeight="1" x14ac:dyDescent="0.25">
      <c r="A745" s="8" t="s">
        <v>3480</v>
      </c>
      <c r="B745">
        <v>2</v>
      </c>
      <c r="C745" t="s">
        <v>3482</v>
      </c>
      <c r="D745" t="s">
        <v>3487</v>
      </c>
      <c r="E745" t="s">
        <v>3487</v>
      </c>
    </row>
    <row r="746" spans="1:9" customFormat="1" ht="15.75" customHeight="1" x14ac:dyDescent="0.25">
      <c r="A746" s="8" t="s">
        <v>3480</v>
      </c>
      <c r="B746">
        <v>3</v>
      </c>
      <c r="C746" t="s">
        <v>3483</v>
      </c>
      <c r="D746" t="s">
        <v>3488</v>
      </c>
      <c r="E746" t="s">
        <v>3492</v>
      </c>
    </row>
    <row r="747" spans="1:9" customFormat="1" ht="15.75" customHeight="1" x14ac:dyDescent="0.25">
      <c r="A747" s="8" t="s">
        <v>3480</v>
      </c>
      <c r="B747">
        <v>4</v>
      </c>
      <c r="C747" t="s">
        <v>3484</v>
      </c>
      <c r="D747" t="s">
        <v>3489</v>
      </c>
      <c r="E747" t="s">
        <v>3493</v>
      </c>
    </row>
    <row r="748" spans="1:9" customFormat="1" ht="15.75" customHeight="1" x14ac:dyDescent="0.25">
      <c r="A748" s="8" t="s">
        <v>3480</v>
      </c>
      <c r="B748">
        <v>5</v>
      </c>
      <c r="C748" t="s">
        <v>3485</v>
      </c>
      <c r="D748" t="s">
        <v>3490</v>
      </c>
      <c r="E748" t="s">
        <v>3494</v>
      </c>
    </row>
    <row r="749" spans="1:9" customFormat="1" ht="15" x14ac:dyDescent="0.25">
      <c r="A749" s="8" t="s">
        <v>3480</v>
      </c>
      <c r="B749">
        <v>6</v>
      </c>
      <c r="C749" t="s">
        <v>78</v>
      </c>
      <c r="D749" t="s">
        <v>79</v>
      </c>
      <c r="E749" t="s">
        <v>1006</v>
      </c>
    </row>
    <row r="750" spans="1:9" x14ac:dyDescent="0.25">
      <c r="A750" s="10"/>
      <c r="B750" s="10"/>
      <c r="C750" s="10"/>
      <c r="D750" s="10"/>
      <c r="E750" s="10"/>
      <c r="F750" s="10"/>
      <c r="G750" s="10"/>
      <c r="H750" s="10"/>
      <c r="I750" s="10"/>
    </row>
    <row r="751" spans="1:9" customFormat="1" ht="15.75" customHeight="1" x14ac:dyDescent="0.25">
      <c r="A751" s="8" t="s">
        <v>3497</v>
      </c>
      <c r="B751">
        <v>1</v>
      </c>
      <c r="C751" t="s">
        <v>3481</v>
      </c>
      <c r="D751" t="s">
        <v>3486</v>
      </c>
      <c r="E751" t="s">
        <v>3491</v>
      </c>
    </row>
    <row r="752" spans="1:9" customFormat="1" ht="15.75" customHeight="1" x14ac:dyDescent="0.25">
      <c r="A752" s="8" t="s">
        <v>3497</v>
      </c>
      <c r="B752">
        <v>2</v>
      </c>
      <c r="C752" t="s">
        <v>3482</v>
      </c>
      <c r="D752" t="s">
        <v>3487</v>
      </c>
      <c r="E752" t="s">
        <v>3487</v>
      </c>
    </row>
    <row r="753" spans="1:9" customFormat="1" ht="15.75" customHeight="1" x14ac:dyDescent="0.25">
      <c r="A753" s="8" t="s">
        <v>3497</v>
      </c>
      <c r="B753">
        <v>3</v>
      </c>
      <c r="C753" t="s">
        <v>3483</v>
      </c>
      <c r="D753" t="s">
        <v>3488</v>
      </c>
      <c r="E753" t="s">
        <v>3492</v>
      </c>
    </row>
    <row r="754" spans="1:9" customFormat="1" ht="15.75" customHeight="1" x14ac:dyDescent="0.25">
      <c r="A754" s="8" t="s">
        <v>3497</v>
      </c>
      <c r="B754">
        <v>4</v>
      </c>
      <c r="C754" t="s">
        <v>3484</v>
      </c>
      <c r="D754" t="s">
        <v>3489</v>
      </c>
      <c r="E754" t="s">
        <v>3493</v>
      </c>
    </row>
    <row r="755" spans="1:9" customFormat="1" ht="15" x14ac:dyDescent="0.25">
      <c r="A755" s="8" t="s">
        <v>3497</v>
      </c>
      <c r="B755">
        <v>5</v>
      </c>
      <c r="C755" t="s">
        <v>3485</v>
      </c>
      <c r="D755" t="s">
        <v>3490</v>
      </c>
      <c r="E755" t="s">
        <v>3494</v>
      </c>
    </row>
    <row r="756" spans="1:9" customFormat="1" ht="15.75" customHeight="1" x14ac:dyDescent="0.25">
      <c r="A756" s="8" t="s">
        <v>3497</v>
      </c>
      <c r="B756">
        <v>6</v>
      </c>
      <c r="C756" t="s">
        <v>3498</v>
      </c>
      <c r="D756" t="s">
        <v>3501</v>
      </c>
      <c r="E756" t="s">
        <v>3505</v>
      </c>
    </row>
    <row r="757" spans="1:9" customFormat="1" ht="15.75" customHeight="1" x14ac:dyDescent="0.25">
      <c r="A757" s="8" t="s">
        <v>3497</v>
      </c>
      <c r="B757">
        <v>7</v>
      </c>
      <c r="C757" t="s">
        <v>3499</v>
      </c>
      <c r="D757" t="s">
        <v>3502</v>
      </c>
      <c r="E757" t="s">
        <v>3506</v>
      </c>
    </row>
    <row r="758" spans="1:9" customFormat="1" ht="15.75" customHeight="1" x14ac:dyDescent="0.25">
      <c r="A758" s="8" t="s">
        <v>3497</v>
      </c>
      <c r="B758">
        <v>8</v>
      </c>
      <c r="C758" t="s">
        <v>3500</v>
      </c>
      <c r="D758" t="s">
        <v>3503</v>
      </c>
      <c r="E758" t="s">
        <v>3507</v>
      </c>
    </row>
    <row r="759" spans="1:9" customFormat="1" ht="15.75" customHeight="1" x14ac:dyDescent="0.25">
      <c r="A759" s="8" t="s">
        <v>3497</v>
      </c>
      <c r="B759">
        <v>9</v>
      </c>
      <c r="C759" t="s">
        <v>3441</v>
      </c>
      <c r="D759" t="s">
        <v>3504</v>
      </c>
      <c r="E759" t="s">
        <v>1735</v>
      </c>
    </row>
    <row r="760" spans="1:9" x14ac:dyDescent="0.25">
      <c r="A760" s="10"/>
      <c r="B760" s="10"/>
      <c r="C760" s="10"/>
      <c r="D760" s="10"/>
      <c r="E760" s="10"/>
      <c r="F760" s="10"/>
      <c r="G760" s="10"/>
      <c r="H760" s="10"/>
      <c r="I760" s="10"/>
    </row>
    <row r="761" spans="1:9" customFormat="1" ht="15.75" customHeight="1" x14ac:dyDescent="0.25">
      <c r="A761" s="8" t="s">
        <v>3524</v>
      </c>
      <c r="B761">
        <v>1</v>
      </c>
      <c r="C761" t="s">
        <v>3509</v>
      </c>
      <c r="D761" t="s">
        <v>3514</v>
      </c>
      <c r="E761" t="s">
        <v>3519</v>
      </c>
      <c r="F761" s="8"/>
    </row>
    <row r="762" spans="1:9" customFormat="1" ht="15" x14ac:dyDescent="0.25">
      <c r="A762" s="8" t="s">
        <v>3524</v>
      </c>
      <c r="B762">
        <v>2</v>
      </c>
      <c r="C762" t="s">
        <v>3510</v>
      </c>
      <c r="D762" t="s">
        <v>3515</v>
      </c>
      <c r="E762" t="s">
        <v>3520</v>
      </c>
      <c r="F762" s="8"/>
    </row>
    <row r="763" spans="1:9" customFormat="1" ht="15.75" customHeight="1" x14ac:dyDescent="0.25">
      <c r="A763" s="8" t="s">
        <v>3524</v>
      </c>
      <c r="B763">
        <v>3</v>
      </c>
      <c r="C763" t="s">
        <v>3511</v>
      </c>
      <c r="D763" t="s">
        <v>3516</v>
      </c>
      <c r="E763" t="s">
        <v>3521</v>
      </c>
      <c r="F763" s="8"/>
    </row>
    <row r="764" spans="1:9" customFormat="1" ht="15.75" customHeight="1" x14ac:dyDescent="0.25">
      <c r="A764" s="8" t="s">
        <v>3524</v>
      </c>
      <c r="B764">
        <v>4</v>
      </c>
      <c r="C764" t="s">
        <v>3512</v>
      </c>
      <c r="D764" t="s">
        <v>3517</v>
      </c>
      <c r="E764" t="s">
        <v>3522</v>
      </c>
      <c r="F764" s="8"/>
    </row>
    <row r="765" spans="1:9" customFormat="1" ht="15.75" customHeight="1" x14ac:dyDescent="0.25">
      <c r="A765" s="8" t="s">
        <v>3524</v>
      </c>
      <c r="B765">
        <v>5</v>
      </c>
      <c r="C765" t="s">
        <v>3513</v>
      </c>
      <c r="D765" t="s">
        <v>3518</v>
      </c>
      <c r="E765" t="s">
        <v>3523</v>
      </c>
      <c r="F765" s="8"/>
    </row>
    <row r="766" spans="1:9" customFormat="1" ht="15" x14ac:dyDescent="0.25">
      <c r="A766" s="8" t="s">
        <v>3524</v>
      </c>
      <c r="B766">
        <v>6</v>
      </c>
      <c r="C766" t="s">
        <v>3441</v>
      </c>
      <c r="D766" t="s">
        <v>3504</v>
      </c>
      <c r="E766" t="s">
        <v>1735</v>
      </c>
      <c r="F766" s="8"/>
    </row>
    <row r="767" spans="1:9" x14ac:dyDescent="0.25">
      <c r="A767" s="10"/>
      <c r="B767" s="10"/>
      <c r="C767" s="10"/>
      <c r="D767" s="10"/>
      <c r="E767" s="10"/>
      <c r="F767" s="10"/>
      <c r="G767" s="10"/>
      <c r="H767" s="10"/>
      <c r="I767" s="10"/>
    </row>
    <row r="768" spans="1:9" ht="15" x14ac:dyDescent="0.25">
      <c r="A768" s="8" t="s">
        <v>3535</v>
      </c>
      <c r="B768">
        <v>1</v>
      </c>
      <c r="C768" s="8" t="s">
        <v>3526</v>
      </c>
      <c r="D768" s="8" t="s">
        <v>3529</v>
      </c>
      <c r="E768" s="8" t="s">
        <v>3532</v>
      </c>
    </row>
    <row r="769" spans="1:9" ht="15" x14ac:dyDescent="0.25">
      <c r="A769" s="8" t="s">
        <v>3535</v>
      </c>
      <c r="B769">
        <v>2</v>
      </c>
      <c r="C769" s="8" t="s">
        <v>3527</v>
      </c>
      <c r="D769" s="8" t="s">
        <v>3530</v>
      </c>
      <c r="E769" s="8" t="s">
        <v>3533</v>
      </c>
    </row>
    <row r="770" spans="1:9" ht="15" x14ac:dyDescent="0.25">
      <c r="A770" s="8" t="s">
        <v>3535</v>
      </c>
      <c r="B770">
        <v>3</v>
      </c>
      <c r="C770" s="8" t="s">
        <v>3528</v>
      </c>
      <c r="D770" s="8" t="s">
        <v>3531</v>
      </c>
      <c r="E770" s="8" t="s">
        <v>3534</v>
      </c>
    </row>
    <row r="771" spans="1:9" ht="15" x14ac:dyDescent="0.25">
      <c r="A771" s="8" t="s">
        <v>3535</v>
      </c>
      <c r="B771">
        <v>4</v>
      </c>
      <c r="C771" s="8" t="s">
        <v>3441</v>
      </c>
      <c r="D771" s="8" t="s">
        <v>3504</v>
      </c>
      <c r="E771" s="8" t="s">
        <v>1735</v>
      </c>
    </row>
    <row r="772" spans="1:9" x14ac:dyDescent="0.25">
      <c r="A772" s="10"/>
      <c r="B772" s="10"/>
      <c r="C772" s="10"/>
      <c r="D772" s="10"/>
      <c r="E772" s="10"/>
      <c r="F772" s="10"/>
      <c r="G772" s="10"/>
      <c r="H772" s="10"/>
      <c r="I772" s="10"/>
    </row>
    <row r="773" spans="1:9" ht="15" x14ac:dyDescent="0.25">
      <c r="A773" s="8" t="s">
        <v>3540</v>
      </c>
      <c r="B773">
        <v>1</v>
      </c>
      <c r="C773" s="8" t="s">
        <v>81</v>
      </c>
      <c r="D773" s="8" t="s">
        <v>3538</v>
      </c>
      <c r="E773" s="8" t="s">
        <v>3539</v>
      </c>
    </row>
    <row r="774" spans="1:9" ht="15" x14ac:dyDescent="0.25">
      <c r="A774" s="8" t="s">
        <v>3540</v>
      </c>
      <c r="B774">
        <v>2</v>
      </c>
      <c r="C774" s="8" t="s">
        <v>3537</v>
      </c>
      <c r="D774" s="8" t="s">
        <v>84</v>
      </c>
      <c r="E774" s="8" t="s">
        <v>1021</v>
      </c>
    </row>
    <row r="775" spans="1:9" ht="15" x14ac:dyDescent="0.25">
      <c r="A775" s="8" t="s">
        <v>3540</v>
      </c>
      <c r="B775">
        <v>3</v>
      </c>
      <c r="C775" s="8" t="s">
        <v>3441</v>
      </c>
      <c r="D775" s="8" t="s">
        <v>3504</v>
      </c>
      <c r="E775" s="8" t="s">
        <v>1735</v>
      </c>
    </row>
    <row r="776" spans="1:9" x14ac:dyDescent="0.25">
      <c r="A776" s="10"/>
      <c r="B776" s="10"/>
      <c r="C776" s="10"/>
      <c r="D776" s="10"/>
      <c r="E776" s="10"/>
      <c r="F776" s="10"/>
      <c r="G776" s="10"/>
      <c r="H776" s="10"/>
      <c r="I776" s="10"/>
    </row>
    <row r="777" spans="1:9" ht="15" x14ac:dyDescent="0.25">
      <c r="A777" s="8" t="s">
        <v>3576</v>
      </c>
      <c r="B777">
        <v>1</v>
      </c>
      <c r="C777" s="8" t="s">
        <v>3569</v>
      </c>
      <c r="D777" s="8" t="s">
        <v>3572</v>
      </c>
      <c r="E777" s="8" t="s">
        <v>1336</v>
      </c>
    </row>
    <row r="778" spans="1:9" ht="15" x14ac:dyDescent="0.25">
      <c r="A778" s="8" t="s">
        <v>3576</v>
      </c>
      <c r="B778">
        <v>2</v>
      </c>
      <c r="C778" s="8" t="s">
        <v>3570</v>
      </c>
      <c r="D778" s="8" t="s">
        <v>3573</v>
      </c>
      <c r="E778" s="8" t="s">
        <v>3575</v>
      </c>
    </row>
    <row r="779" spans="1:9" ht="15" x14ac:dyDescent="0.25">
      <c r="A779" s="8" t="s">
        <v>3576</v>
      </c>
      <c r="B779">
        <v>3</v>
      </c>
      <c r="C779" s="8" t="s">
        <v>3571</v>
      </c>
      <c r="D779" s="8" t="s">
        <v>3574</v>
      </c>
      <c r="E779" s="8" t="s">
        <v>1337</v>
      </c>
    </row>
    <row r="780" spans="1:9" x14ac:dyDescent="0.25">
      <c r="A780" s="10"/>
      <c r="B780" s="10"/>
      <c r="C780" s="10"/>
      <c r="D780" s="10"/>
      <c r="E780" s="10"/>
      <c r="F780" s="10"/>
      <c r="G780" s="10"/>
      <c r="H780" s="10"/>
      <c r="I780" s="10"/>
    </row>
    <row r="781" spans="1:9" ht="15" x14ac:dyDescent="0.25">
      <c r="A781" s="8" t="s">
        <v>3587</v>
      </c>
      <c r="B781">
        <v>1</v>
      </c>
      <c r="C781" s="8" t="s">
        <v>3578</v>
      </c>
      <c r="D781" s="8" t="s">
        <v>3581</v>
      </c>
      <c r="E781" s="8" t="s">
        <v>3584</v>
      </c>
    </row>
    <row r="782" spans="1:9" ht="15" x14ac:dyDescent="0.25">
      <c r="A782" s="8" t="s">
        <v>3587</v>
      </c>
      <c r="B782">
        <v>2</v>
      </c>
      <c r="C782" s="8" t="s">
        <v>3579</v>
      </c>
      <c r="D782" s="8" t="s">
        <v>3582</v>
      </c>
      <c r="E782" s="8" t="s">
        <v>3585</v>
      </c>
    </row>
    <row r="783" spans="1:9" ht="15" x14ac:dyDescent="0.25">
      <c r="A783" s="8" t="s">
        <v>3587</v>
      </c>
      <c r="B783">
        <v>3</v>
      </c>
      <c r="C783" s="8" t="s">
        <v>3580</v>
      </c>
      <c r="D783" s="8" t="s">
        <v>3583</v>
      </c>
      <c r="E783" s="8" t="s">
        <v>3586</v>
      </c>
    </row>
    <row r="784" spans="1:9" x14ac:dyDescent="0.25">
      <c r="A784" s="10"/>
      <c r="B784" s="10"/>
      <c r="C784" s="10"/>
      <c r="D784" s="10"/>
      <c r="E784" s="10"/>
      <c r="F784" s="10"/>
      <c r="G784" s="10"/>
      <c r="H784" s="10"/>
      <c r="I784" s="10"/>
    </row>
    <row r="785" spans="1:9" ht="15" x14ac:dyDescent="0.25">
      <c r="A785" s="8" t="s">
        <v>3593</v>
      </c>
      <c r="B785">
        <v>1</v>
      </c>
      <c r="C785" s="8" t="s">
        <v>3594</v>
      </c>
      <c r="D785" s="8" t="s">
        <v>986</v>
      </c>
      <c r="E785" s="8" t="s">
        <v>3599</v>
      </c>
    </row>
    <row r="786" spans="1:9" ht="15" x14ac:dyDescent="0.25">
      <c r="A786" s="8" t="s">
        <v>3593</v>
      </c>
      <c r="B786">
        <v>2</v>
      </c>
      <c r="C786" s="8" t="s">
        <v>3595</v>
      </c>
      <c r="D786" s="8" t="s">
        <v>987</v>
      </c>
      <c r="E786" s="8" t="s">
        <v>1352</v>
      </c>
    </row>
    <row r="787" spans="1:9" ht="15" x14ac:dyDescent="0.25">
      <c r="A787" s="8" t="s">
        <v>3593</v>
      </c>
      <c r="B787">
        <v>3</v>
      </c>
      <c r="C787" s="8" t="s">
        <v>3596</v>
      </c>
      <c r="D787" s="8" t="s">
        <v>3598</v>
      </c>
      <c r="E787" s="8" t="s">
        <v>3600</v>
      </c>
    </row>
    <row r="788" spans="1:9" ht="15" x14ac:dyDescent="0.25">
      <c r="A788" s="8" t="s">
        <v>3593</v>
      </c>
      <c r="B788">
        <v>4</v>
      </c>
      <c r="C788" s="8" t="s">
        <v>3597</v>
      </c>
      <c r="D788" s="8" t="s">
        <v>3504</v>
      </c>
      <c r="E788" s="8" t="s">
        <v>1735</v>
      </c>
    </row>
    <row r="789" spans="1:9" x14ac:dyDescent="0.25">
      <c r="A789" s="10"/>
      <c r="B789" s="10"/>
      <c r="C789" s="10"/>
      <c r="D789" s="10"/>
      <c r="E789" s="10"/>
      <c r="F789" s="10"/>
      <c r="G789" s="10"/>
      <c r="H789" s="10"/>
      <c r="I789" s="10"/>
    </row>
    <row r="790" spans="1:9" ht="15" x14ac:dyDescent="0.25">
      <c r="A790" s="8" t="s">
        <v>3607</v>
      </c>
      <c r="B790">
        <v>1</v>
      </c>
      <c r="C790" s="8" t="s">
        <v>3608</v>
      </c>
      <c r="D790" s="8" t="s">
        <v>3612</v>
      </c>
      <c r="E790" s="8" t="s">
        <v>3612</v>
      </c>
    </row>
    <row r="791" spans="1:9" ht="15" x14ac:dyDescent="0.25">
      <c r="A791" s="8" t="s">
        <v>3607</v>
      </c>
      <c r="B791">
        <v>2</v>
      </c>
      <c r="C791" s="8" t="s">
        <v>3609</v>
      </c>
      <c r="D791" s="8" t="s">
        <v>3613</v>
      </c>
      <c r="E791" s="8" t="s">
        <v>3617</v>
      </c>
    </row>
    <row r="792" spans="1:9" ht="15" x14ac:dyDescent="0.25">
      <c r="A792" s="8" t="s">
        <v>3607</v>
      </c>
      <c r="B792">
        <v>3</v>
      </c>
      <c r="C792" s="8" t="s">
        <v>3610</v>
      </c>
      <c r="D792" s="8" t="s">
        <v>3614</v>
      </c>
      <c r="E792" s="8" t="s">
        <v>3614</v>
      </c>
    </row>
    <row r="793" spans="1:9" ht="15" x14ac:dyDescent="0.25">
      <c r="A793" s="8" t="s">
        <v>3607</v>
      </c>
      <c r="B793">
        <v>4</v>
      </c>
      <c r="C793" s="8" t="s">
        <v>3611</v>
      </c>
      <c r="D793" s="8" t="s">
        <v>3615</v>
      </c>
      <c r="E793" s="8" t="s">
        <v>3618</v>
      </c>
    </row>
    <row r="794" spans="1:9" ht="15" x14ac:dyDescent="0.25">
      <c r="A794" s="8" t="s">
        <v>3607</v>
      </c>
      <c r="B794">
        <v>5</v>
      </c>
      <c r="C794" s="8" t="s">
        <v>78</v>
      </c>
      <c r="D794" s="8" t="s">
        <v>3616</v>
      </c>
      <c r="E794" s="8" t="s">
        <v>3619</v>
      </c>
    </row>
    <row r="795" spans="1:9" x14ac:dyDescent="0.25">
      <c r="A795" s="10"/>
      <c r="B795" s="10"/>
      <c r="C795" s="10"/>
      <c r="D795" s="10"/>
      <c r="E795" s="10"/>
      <c r="F795" s="10"/>
      <c r="G795" s="10"/>
      <c r="H795" s="10"/>
      <c r="I795" s="10"/>
    </row>
    <row r="796" spans="1:9" x14ac:dyDescent="0.25">
      <c r="A796" s="6" t="s">
        <v>3657</v>
      </c>
      <c r="B796" s="8">
        <v>1</v>
      </c>
      <c r="C796" s="8" t="s">
        <v>3624</v>
      </c>
      <c r="D796" s="8" t="s">
        <v>3634</v>
      </c>
      <c r="E796" s="8" t="s">
        <v>3643</v>
      </c>
    </row>
    <row r="797" spans="1:9" x14ac:dyDescent="0.25">
      <c r="A797" s="6" t="s">
        <v>3657</v>
      </c>
      <c r="B797" s="8">
        <v>2</v>
      </c>
      <c r="C797" s="8" t="s">
        <v>1620</v>
      </c>
      <c r="D797" s="8" t="s">
        <v>3635</v>
      </c>
      <c r="E797" s="8" t="s">
        <v>3644</v>
      </c>
    </row>
    <row r="798" spans="1:9" x14ac:dyDescent="0.25">
      <c r="A798" s="6" t="s">
        <v>3657</v>
      </c>
      <c r="B798" s="8">
        <v>3</v>
      </c>
      <c r="C798" s="8" t="s">
        <v>1621</v>
      </c>
      <c r="D798" s="8" t="s">
        <v>1630</v>
      </c>
      <c r="E798" s="8" t="s">
        <v>3645</v>
      </c>
    </row>
    <row r="799" spans="1:9" x14ac:dyDescent="0.25">
      <c r="A799" s="6" t="s">
        <v>3657</v>
      </c>
      <c r="B799" s="8">
        <v>4</v>
      </c>
      <c r="C799" s="8" t="s">
        <v>3625</v>
      </c>
      <c r="D799" s="8" t="s">
        <v>1631</v>
      </c>
      <c r="E799" s="8" t="s">
        <v>3646</v>
      </c>
    </row>
    <row r="800" spans="1:9" x14ac:dyDescent="0.25">
      <c r="A800" s="6" t="s">
        <v>3657</v>
      </c>
      <c r="B800" s="8">
        <v>5</v>
      </c>
      <c r="C800" s="8" t="s">
        <v>3626</v>
      </c>
      <c r="D800" s="8" t="s">
        <v>1632</v>
      </c>
      <c r="E800" s="8" t="s">
        <v>3647</v>
      </c>
    </row>
    <row r="801" spans="1:9" x14ac:dyDescent="0.25">
      <c r="A801" s="6" t="s">
        <v>3657</v>
      </c>
      <c r="B801" s="8">
        <v>6</v>
      </c>
      <c r="C801" s="8" t="s">
        <v>3627</v>
      </c>
      <c r="D801" s="8" t="s">
        <v>3636</v>
      </c>
      <c r="E801" s="8" t="s">
        <v>3648</v>
      </c>
    </row>
    <row r="802" spans="1:9" x14ac:dyDescent="0.25">
      <c r="A802" s="6" t="s">
        <v>3657</v>
      </c>
      <c r="B802" s="8">
        <v>7</v>
      </c>
      <c r="C802" s="8" t="s">
        <v>3628</v>
      </c>
      <c r="D802" s="8" t="s">
        <v>1634</v>
      </c>
      <c r="E802" s="8" t="s">
        <v>3649</v>
      </c>
    </row>
    <row r="803" spans="1:9" x14ac:dyDescent="0.25">
      <c r="A803" s="6" t="s">
        <v>3657</v>
      </c>
      <c r="B803" s="8">
        <v>8</v>
      </c>
      <c r="C803" s="8" t="s">
        <v>3629</v>
      </c>
      <c r="D803" s="8" t="s">
        <v>3637</v>
      </c>
      <c r="E803" s="8" t="s">
        <v>3650</v>
      </c>
    </row>
    <row r="804" spans="1:9" x14ac:dyDescent="0.25">
      <c r="A804" s="6" t="s">
        <v>3657</v>
      </c>
      <c r="B804" s="8">
        <v>9</v>
      </c>
      <c r="C804" s="8" t="s">
        <v>3630</v>
      </c>
      <c r="D804" s="8" t="s">
        <v>3638</v>
      </c>
      <c r="E804" s="8" t="s">
        <v>3651</v>
      </c>
    </row>
    <row r="805" spans="1:9" x14ac:dyDescent="0.25">
      <c r="A805" s="6" t="s">
        <v>3657</v>
      </c>
      <c r="B805" s="8">
        <v>10</v>
      </c>
      <c r="C805" s="8" t="s">
        <v>3631</v>
      </c>
      <c r="D805" s="8" t="s">
        <v>3639</v>
      </c>
      <c r="E805" s="8" t="s">
        <v>3652</v>
      </c>
    </row>
    <row r="806" spans="1:9" x14ac:dyDescent="0.25">
      <c r="A806" s="6" t="s">
        <v>3657</v>
      </c>
      <c r="B806" s="8">
        <v>11</v>
      </c>
      <c r="C806" s="8" t="s">
        <v>3632</v>
      </c>
      <c r="D806" s="8" t="s">
        <v>1636</v>
      </c>
      <c r="E806" s="8" t="s">
        <v>3653</v>
      </c>
    </row>
    <row r="807" spans="1:9" x14ac:dyDescent="0.25">
      <c r="A807" s="6" t="s">
        <v>3657</v>
      </c>
      <c r="B807" s="8">
        <v>12</v>
      </c>
      <c r="C807" s="8" t="s">
        <v>1626</v>
      </c>
      <c r="D807" s="8" t="s">
        <v>3640</v>
      </c>
      <c r="E807" s="8" t="s">
        <v>3654</v>
      </c>
    </row>
    <row r="808" spans="1:9" x14ac:dyDescent="0.25">
      <c r="A808" s="6" t="s">
        <v>3657</v>
      </c>
      <c r="B808" s="8">
        <v>13</v>
      </c>
      <c r="C808" s="8" t="s">
        <v>3633</v>
      </c>
      <c r="D808" s="8" t="s">
        <v>3641</v>
      </c>
      <c r="E808" s="8" t="s">
        <v>3655</v>
      </c>
    </row>
    <row r="809" spans="1:9" x14ac:dyDescent="0.25">
      <c r="A809" s="6" t="s">
        <v>3657</v>
      </c>
      <c r="B809" s="8">
        <v>96</v>
      </c>
      <c r="C809" s="8" t="s">
        <v>3656</v>
      </c>
      <c r="D809" s="8" t="s">
        <v>3642</v>
      </c>
      <c r="E809" s="8" t="s">
        <v>1150</v>
      </c>
    </row>
    <row r="810" spans="1:9" x14ac:dyDescent="0.25">
      <c r="A810" s="10"/>
      <c r="B810" s="10"/>
      <c r="C810" s="10"/>
      <c r="D810" s="10"/>
      <c r="E810" s="10"/>
      <c r="F810" s="10"/>
      <c r="G810" s="10"/>
      <c r="H810" s="10"/>
      <c r="I810" s="10"/>
    </row>
    <row r="811" spans="1:9" x14ac:dyDescent="0.25">
      <c r="A811" s="6" t="s">
        <v>3663</v>
      </c>
      <c r="B811" s="8">
        <v>1</v>
      </c>
      <c r="C811" s="8" t="s">
        <v>3658</v>
      </c>
      <c r="D811" s="8" t="s">
        <v>3664</v>
      </c>
      <c r="E811" s="8" t="s">
        <v>3668</v>
      </c>
    </row>
    <row r="812" spans="1:9" x14ac:dyDescent="0.25">
      <c r="A812" s="6" t="s">
        <v>3663</v>
      </c>
      <c r="B812" s="8">
        <v>2</v>
      </c>
      <c r="C812" s="8" t="s">
        <v>3659</v>
      </c>
      <c r="D812" s="8" t="s">
        <v>3665</v>
      </c>
      <c r="E812" s="8" t="s">
        <v>3669</v>
      </c>
    </row>
    <row r="813" spans="1:9" x14ac:dyDescent="0.25">
      <c r="A813" s="6" t="s">
        <v>3663</v>
      </c>
      <c r="B813" s="8">
        <v>3</v>
      </c>
      <c r="C813" s="8" t="s">
        <v>3660</v>
      </c>
      <c r="D813" s="8" t="s">
        <v>3666</v>
      </c>
      <c r="E813" s="8" t="s">
        <v>3670</v>
      </c>
    </row>
    <row r="814" spans="1:9" x14ac:dyDescent="0.25">
      <c r="A814" s="6" t="s">
        <v>3663</v>
      </c>
      <c r="B814" s="8">
        <v>4</v>
      </c>
      <c r="C814" s="8" t="s">
        <v>3661</v>
      </c>
      <c r="D814" s="8" t="s">
        <v>3667</v>
      </c>
      <c r="E814" s="8" t="s">
        <v>3671</v>
      </c>
    </row>
    <row r="815" spans="1:9" x14ac:dyDescent="0.25">
      <c r="A815" s="6" t="s">
        <v>3663</v>
      </c>
      <c r="B815" s="8">
        <v>96</v>
      </c>
      <c r="C815" s="8" t="s">
        <v>3662</v>
      </c>
      <c r="D815" s="8" t="s">
        <v>2008</v>
      </c>
      <c r="E815" s="8" t="s">
        <v>1006</v>
      </c>
    </row>
    <row r="816" spans="1:9" x14ac:dyDescent="0.25">
      <c r="A816" s="10"/>
      <c r="B816" s="10"/>
      <c r="C816" s="10"/>
      <c r="D816" s="10"/>
      <c r="E816" s="10"/>
      <c r="F816" s="10"/>
      <c r="G816" s="10"/>
      <c r="H816" s="10"/>
      <c r="I816" s="10"/>
    </row>
    <row r="817" spans="1:9" x14ac:dyDescent="0.25">
      <c r="A817" s="8" t="s">
        <v>3676</v>
      </c>
      <c r="B817" s="8">
        <v>1</v>
      </c>
      <c r="C817" s="8" t="s">
        <v>81</v>
      </c>
      <c r="D817" s="8" t="s">
        <v>82</v>
      </c>
      <c r="E817" s="8" t="s">
        <v>1020</v>
      </c>
    </row>
    <row r="818" spans="1:9" x14ac:dyDescent="0.25">
      <c r="A818" s="8" t="s">
        <v>3676</v>
      </c>
      <c r="B818" s="8">
        <v>2</v>
      </c>
      <c r="C818" s="8" t="s">
        <v>3537</v>
      </c>
      <c r="D818" s="8" t="s">
        <v>84</v>
      </c>
      <c r="E818" s="8" t="s">
        <v>3674</v>
      </c>
    </row>
    <row r="819" spans="1:9" x14ac:dyDescent="0.25">
      <c r="A819" s="8" t="s">
        <v>3676</v>
      </c>
      <c r="B819" s="8">
        <v>3</v>
      </c>
      <c r="C819" s="8" t="s">
        <v>3672</v>
      </c>
      <c r="D819" s="8" t="s">
        <v>3673</v>
      </c>
      <c r="E819" s="8" t="s">
        <v>3675</v>
      </c>
    </row>
    <row r="820" spans="1:9" x14ac:dyDescent="0.25">
      <c r="A820" s="10"/>
      <c r="B820" s="10"/>
      <c r="C820" s="10"/>
      <c r="D820" s="10"/>
      <c r="E820" s="10"/>
      <c r="F820" s="10"/>
      <c r="G820" s="10"/>
      <c r="H820" s="10"/>
      <c r="I820" s="10"/>
    </row>
    <row r="821" spans="1:9" x14ac:dyDescent="0.25">
      <c r="A821" s="8" t="s">
        <v>3686</v>
      </c>
      <c r="B821" s="8">
        <v>1</v>
      </c>
      <c r="C821" s="8" t="s">
        <v>3677</v>
      </c>
      <c r="D821" s="8" t="s">
        <v>3680</v>
      </c>
      <c r="E821" s="8" t="s">
        <v>3683</v>
      </c>
    </row>
    <row r="822" spans="1:9" x14ac:dyDescent="0.25">
      <c r="A822" s="8" t="s">
        <v>3686</v>
      </c>
      <c r="B822" s="8">
        <v>2</v>
      </c>
      <c r="C822" s="8" t="s">
        <v>3678</v>
      </c>
      <c r="D822" s="8" t="s">
        <v>3681</v>
      </c>
      <c r="E822" s="8" t="s">
        <v>3684</v>
      </c>
    </row>
    <row r="823" spans="1:9" x14ac:dyDescent="0.25">
      <c r="A823" s="8" t="s">
        <v>3686</v>
      </c>
      <c r="B823" s="8">
        <v>3</v>
      </c>
      <c r="C823" s="8" t="s">
        <v>3679</v>
      </c>
      <c r="D823" s="8" t="s">
        <v>3682</v>
      </c>
      <c r="E823" s="8" t="s">
        <v>3685</v>
      </c>
    </row>
    <row r="824" spans="1:9" x14ac:dyDescent="0.25">
      <c r="A824" s="10"/>
      <c r="B824" s="10"/>
      <c r="C824" s="10"/>
      <c r="D824" s="10"/>
      <c r="E824" s="10"/>
      <c r="F824" s="10"/>
      <c r="G824" s="10"/>
      <c r="H824" s="10"/>
      <c r="I824" s="10"/>
    </row>
    <row r="825" spans="1:9" x14ac:dyDescent="0.25">
      <c r="A825" s="6" t="s">
        <v>3699</v>
      </c>
      <c r="B825" s="8">
        <v>1</v>
      </c>
      <c r="C825" s="8" t="s">
        <v>3687</v>
      </c>
      <c r="D825" s="8" t="s">
        <v>3691</v>
      </c>
      <c r="E825" s="8" t="s">
        <v>3695</v>
      </c>
    </row>
    <row r="826" spans="1:9" x14ac:dyDescent="0.25">
      <c r="A826" s="6" t="s">
        <v>3699</v>
      </c>
      <c r="B826" s="8">
        <v>2</v>
      </c>
      <c r="C826" s="8" t="s">
        <v>3688</v>
      </c>
      <c r="D826" s="8" t="s">
        <v>3692</v>
      </c>
      <c r="E826" s="8" t="s">
        <v>3696</v>
      </c>
    </row>
    <row r="827" spans="1:9" x14ac:dyDescent="0.25">
      <c r="A827" s="6" t="s">
        <v>3699</v>
      </c>
      <c r="B827" s="8">
        <v>3</v>
      </c>
      <c r="C827" s="8" t="s">
        <v>3689</v>
      </c>
      <c r="D827" s="8" t="s">
        <v>3693</v>
      </c>
      <c r="E827" s="8" t="s">
        <v>3697</v>
      </c>
    </row>
    <row r="828" spans="1:9" x14ac:dyDescent="0.25">
      <c r="A828" s="6" t="s">
        <v>3699</v>
      </c>
      <c r="B828" s="8">
        <v>4</v>
      </c>
      <c r="C828" s="8" t="s">
        <v>3690</v>
      </c>
      <c r="D828" s="8" t="s">
        <v>3694</v>
      </c>
      <c r="E828" s="8" t="s">
        <v>3698</v>
      </c>
    </row>
    <row r="829" spans="1:9" x14ac:dyDescent="0.25">
      <c r="A829" s="6" t="s">
        <v>3699</v>
      </c>
      <c r="B829" s="8">
        <v>96</v>
      </c>
      <c r="C829" s="8" t="s">
        <v>2370</v>
      </c>
      <c r="D829" s="8" t="s">
        <v>2317</v>
      </c>
      <c r="E829" s="8" t="s">
        <v>1219</v>
      </c>
    </row>
    <row r="830" spans="1:9" x14ac:dyDescent="0.25">
      <c r="A830" s="10"/>
      <c r="B830" s="10"/>
      <c r="C830" s="10"/>
      <c r="D830" s="10"/>
      <c r="E830" s="10"/>
      <c r="F830" s="10"/>
      <c r="G830" s="10"/>
      <c r="H830" s="10"/>
      <c r="I830" s="10"/>
    </row>
    <row r="831" spans="1:9" x14ac:dyDescent="0.25">
      <c r="A831" s="8" t="s">
        <v>3703</v>
      </c>
      <c r="B831" s="8">
        <v>1</v>
      </c>
      <c r="C831" s="8">
        <v>25</v>
      </c>
      <c r="D831" s="8">
        <v>25</v>
      </c>
      <c r="E831" s="8">
        <v>25</v>
      </c>
    </row>
    <row r="832" spans="1:9" x14ac:dyDescent="0.25">
      <c r="A832" s="8" t="s">
        <v>3703</v>
      </c>
      <c r="B832" s="8">
        <v>2</v>
      </c>
      <c r="C832" s="8">
        <v>35</v>
      </c>
      <c r="D832" s="8">
        <v>35</v>
      </c>
      <c r="E832" s="8">
        <v>35</v>
      </c>
    </row>
    <row r="833" spans="1:9" x14ac:dyDescent="0.25">
      <c r="A833" s="8" t="s">
        <v>3703</v>
      </c>
      <c r="B833" s="8">
        <v>3</v>
      </c>
      <c r="C833" s="8">
        <v>45</v>
      </c>
      <c r="D833" s="8">
        <v>45</v>
      </c>
      <c r="E833" s="8">
        <v>45</v>
      </c>
    </row>
    <row r="834" spans="1:9" x14ac:dyDescent="0.25">
      <c r="A834" s="8" t="s">
        <v>3703</v>
      </c>
      <c r="B834" s="8">
        <v>4</v>
      </c>
      <c r="C834" s="8">
        <v>55</v>
      </c>
      <c r="D834" s="8">
        <v>55</v>
      </c>
      <c r="E834" s="8">
        <v>55</v>
      </c>
    </row>
    <row r="835" spans="1:9" x14ac:dyDescent="0.25">
      <c r="A835" s="10"/>
      <c r="B835" s="10"/>
      <c r="C835" s="10"/>
      <c r="D835" s="10"/>
      <c r="E835" s="10"/>
      <c r="F835" s="10"/>
      <c r="G835" s="10"/>
      <c r="H835" s="10"/>
      <c r="I835" s="10"/>
    </row>
    <row r="836" spans="1:9" x14ac:dyDescent="0.25">
      <c r="A836" s="8" t="s">
        <v>3702</v>
      </c>
      <c r="B836" s="8">
        <v>1</v>
      </c>
      <c r="C836" s="8" t="s">
        <v>3700</v>
      </c>
      <c r="D836" s="8" t="s">
        <v>302</v>
      </c>
      <c r="E836" s="8" t="s">
        <v>1010</v>
      </c>
    </row>
    <row r="837" spans="1:9" x14ac:dyDescent="0.25">
      <c r="A837" s="8" t="s">
        <v>3702</v>
      </c>
      <c r="B837" s="8">
        <v>2</v>
      </c>
      <c r="C837" s="8" t="s">
        <v>3701</v>
      </c>
      <c r="D837" s="8" t="s">
        <v>300</v>
      </c>
      <c r="E837" s="8" t="s">
        <v>1009</v>
      </c>
    </row>
    <row r="838" spans="1:9" ht="12" customHeight="1" x14ac:dyDescent="0.25">
      <c r="A838" s="10"/>
      <c r="B838" s="10"/>
      <c r="C838" s="10"/>
      <c r="D838" s="10"/>
      <c r="E838" s="10"/>
      <c r="F838" s="10"/>
      <c r="G838" s="10"/>
      <c r="H838" s="10"/>
      <c r="I838" s="10"/>
    </row>
    <row r="839" spans="1:9" x14ac:dyDescent="0.25">
      <c r="A839" s="8" t="s">
        <v>3720</v>
      </c>
      <c r="B839" s="8">
        <v>1</v>
      </c>
      <c r="C839" s="8" t="s">
        <v>3704</v>
      </c>
      <c r="D839" s="8" t="s">
        <v>3712</v>
      </c>
      <c r="E839" s="8" t="s">
        <v>3719</v>
      </c>
    </row>
    <row r="840" spans="1:9" x14ac:dyDescent="0.25">
      <c r="A840" s="8" t="s">
        <v>3720</v>
      </c>
      <c r="B840" s="8">
        <v>2</v>
      </c>
      <c r="C840" s="8" t="s">
        <v>3705</v>
      </c>
      <c r="D840" s="8" t="s">
        <v>3713</v>
      </c>
      <c r="E840" s="8" t="s">
        <v>3719</v>
      </c>
    </row>
    <row r="841" spans="1:9" ht="12" customHeight="1" x14ac:dyDescent="0.25">
      <c r="A841" s="10"/>
      <c r="B841" s="10"/>
      <c r="C841" s="10"/>
      <c r="D841" s="10"/>
      <c r="E841" s="10"/>
      <c r="F841" s="10"/>
      <c r="G841" s="10"/>
      <c r="H841" s="10"/>
      <c r="I841" s="10"/>
    </row>
    <row r="842" spans="1:9" x14ac:dyDescent="0.25">
      <c r="A842" s="8" t="s">
        <v>3711</v>
      </c>
      <c r="B842" s="8">
        <v>1</v>
      </c>
      <c r="C842" s="8" t="s">
        <v>3706</v>
      </c>
      <c r="D842" s="8" t="s">
        <v>3714</v>
      </c>
      <c r="E842" s="8" t="s">
        <v>3714</v>
      </c>
    </row>
    <row r="843" spans="1:9" x14ac:dyDescent="0.25">
      <c r="A843" s="8" t="s">
        <v>3711</v>
      </c>
      <c r="B843" s="8">
        <v>2</v>
      </c>
      <c r="C843" s="8" t="s">
        <v>3707</v>
      </c>
      <c r="D843" s="8" t="s">
        <v>3715</v>
      </c>
      <c r="E843" s="8" t="s">
        <v>3715</v>
      </c>
    </row>
    <row r="844" spans="1:9" x14ac:dyDescent="0.25">
      <c r="A844" s="8" t="s">
        <v>3711</v>
      </c>
      <c r="B844" s="8">
        <v>3</v>
      </c>
      <c r="C844" s="8" t="s">
        <v>3708</v>
      </c>
      <c r="D844" s="8" t="s">
        <v>3716</v>
      </c>
      <c r="E844" s="8" t="s">
        <v>3716</v>
      </c>
    </row>
    <row r="845" spans="1:9" x14ac:dyDescent="0.25">
      <c r="A845" s="8" t="s">
        <v>3711</v>
      </c>
      <c r="B845" s="8">
        <v>4</v>
      </c>
      <c r="C845" s="8" t="s">
        <v>3709</v>
      </c>
      <c r="D845" s="8" t="s">
        <v>3717</v>
      </c>
      <c r="E845" s="8" t="s">
        <v>3717</v>
      </c>
    </row>
    <row r="846" spans="1:9" x14ac:dyDescent="0.25">
      <c r="A846" s="8" t="s">
        <v>3711</v>
      </c>
      <c r="B846" s="8">
        <v>5</v>
      </c>
      <c r="C846" s="8" t="s">
        <v>3710</v>
      </c>
      <c r="D846" s="8" t="s">
        <v>3718</v>
      </c>
      <c r="E846" s="8" t="s">
        <v>3718</v>
      </c>
    </row>
    <row r="847" spans="1:9" ht="12" customHeight="1" x14ac:dyDescent="0.25">
      <c r="A847" s="10"/>
      <c r="B847" s="10"/>
      <c r="C847" s="10"/>
      <c r="D847" s="10"/>
      <c r="E847" s="10"/>
      <c r="F847" s="10"/>
      <c r="G847" s="10"/>
      <c r="H847" s="10"/>
      <c r="I847" s="10"/>
    </row>
    <row r="848" spans="1:9" x14ac:dyDescent="0.25">
      <c r="A848" s="8" t="s">
        <v>3721</v>
      </c>
      <c r="B848" s="8">
        <v>1</v>
      </c>
      <c r="C848" s="8" t="s">
        <v>3722</v>
      </c>
      <c r="D848" s="8" t="s">
        <v>3727</v>
      </c>
      <c r="E848" s="8" t="s">
        <v>3732</v>
      </c>
    </row>
    <row r="849" spans="1:9" x14ac:dyDescent="0.25">
      <c r="A849" s="8" t="s">
        <v>3721</v>
      </c>
      <c r="B849" s="8">
        <v>2</v>
      </c>
      <c r="C849" s="8" t="s">
        <v>3723</v>
      </c>
      <c r="D849" s="8" t="s">
        <v>3728</v>
      </c>
      <c r="E849" s="8" t="s">
        <v>3733</v>
      </c>
    </row>
    <row r="850" spans="1:9" x14ac:dyDescent="0.25">
      <c r="A850" s="8" t="s">
        <v>3721</v>
      </c>
      <c r="B850" s="8">
        <v>3</v>
      </c>
      <c r="C850" s="8" t="s">
        <v>3724</v>
      </c>
      <c r="D850" s="8" t="s">
        <v>3729</v>
      </c>
      <c r="E850" s="8" t="s">
        <v>3734</v>
      </c>
    </row>
    <row r="851" spans="1:9" x14ac:dyDescent="0.25">
      <c r="A851" s="8" t="s">
        <v>3721</v>
      </c>
      <c r="B851" s="8">
        <v>4</v>
      </c>
      <c r="C851" s="8" t="s">
        <v>3725</v>
      </c>
      <c r="D851" s="8" t="s">
        <v>3730</v>
      </c>
      <c r="E851" s="8" t="s">
        <v>3735</v>
      </c>
    </row>
    <row r="852" spans="1:9" x14ac:dyDescent="0.25">
      <c r="A852" s="8" t="s">
        <v>3721</v>
      </c>
      <c r="B852" s="8">
        <v>5</v>
      </c>
      <c r="C852" s="8" t="s">
        <v>3726</v>
      </c>
      <c r="D852" s="8" t="s">
        <v>3731</v>
      </c>
      <c r="E852" s="8" t="s">
        <v>3736</v>
      </c>
    </row>
    <row r="853" spans="1:9" ht="12" customHeight="1" x14ac:dyDescent="0.25">
      <c r="A853" s="10"/>
      <c r="B853" s="10"/>
      <c r="C853" s="10"/>
      <c r="D853" s="10"/>
      <c r="E853" s="10"/>
      <c r="F853" s="10"/>
      <c r="G853" s="10"/>
      <c r="H853" s="10"/>
      <c r="I853" s="10"/>
    </row>
    <row r="854" spans="1:9" x14ac:dyDescent="0.25">
      <c r="A854" s="8" t="s">
        <v>3802</v>
      </c>
      <c r="B854" s="8">
        <v>1</v>
      </c>
      <c r="C854" s="8" t="s">
        <v>3803</v>
      </c>
      <c r="D854" s="8" t="s">
        <v>3809</v>
      </c>
      <c r="E854" s="8" t="s">
        <v>3815</v>
      </c>
    </row>
    <row r="855" spans="1:9" x14ac:dyDescent="0.25">
      <c r="A855" s="8" t="s">
        <v>3802</v>
      </c>
      <c r="B855" s="8">
        <v>2</v>
      </c>
      <c r="C855" s="8" t="s">
        <v>3804</v>
      </c>
      <c r="D855" s="8" t="s">
        <v>3810</v>
      </c>
      <c r="E855" s="8" t="s">
        <v>3816</v>
      </c>
    </row>
    <row r="856" spans="1:9" x14ac:dyDescent="0.25">
      <c r="A856" s="8" t="s">
        <v>3802</v>
      </c>
      <c r="B856" s="8">
        <v>3</v>
      </c>
      <c r="C856" s="8" t="s">
        <v>3805</v>
      </c>
      <c r="D856" s="8" t="s">
        <v>3811</v>
      </c>
      <c r="E856" s="8" t="s">
        <v>3817</v>
      </c>
    </row>
    <row r="857" spans="1:9" x14ac:dyDescent="0.25">
      <c r="A857" s="8" t="s">
        <v>3802</v>
      </c>
      <c r="B857" s="8">
        <v>4</v>
      </c>
      <c r="C857" s="8" t="s">
        <v>3806</v>
      </c>
      <c r="D857" s="8" t="s">
        <v>3812</v>
      </c>
      <c r="E857" s="8" t="s">
        <v>3818</v>
      </c>
    </row>
    <row r="858" spans="1:9" x14ac:dyDescent="0.25">
      <c r="A858" s="8" t="s">
        <v>3802</v>
      </c>
      <c r="B858" s="8">
        <v>5</v>
      </c>
      <c r="C858" s="8" t="s">
        <v>3807</v>
      </c>
      <c r="D858" s="8" t="s">
        <v>3813</v>
      </c>
      <c r="E858" s="8" t="s">
        <v>3813</v>
      </c>
    </row>
    <row r="859" spans="1:9" x14ac:dyDescent="0.25">
      <c r="A859" s="8" t="s">
        <v>3802</v>
      </c>
      <c r="B859" s="8">
        <v>6</v>
      </c>
      <c r="C859" s="8" t="s">
        <v>3808</v>
      </c>
      <c r="D859" s="8" t="s">
        <v>3814</v>
      </c>
      <c r="E859" s="8" t="s">
        <v>3819</v>
      </c>
    </row>
    <row r="860" spans="1:9" x14ac:dyDescent="0.25">
      <c r="A860" s="8" t="s">
        <v>3802</v>
      </c>
      <c r="B860" s="8">
        <v>7</v>
      </c>
      <c r="C860" s="8" t="s">
        <v>140</v>
      </c>
      <c r="D860" s="8" t="s">
        <v>653</v>
      </c>
      <c r="E860" s="8" t="s">
        <v>1158</v>
      </c>
    </row>
    <row r="861" spans="1:9" ht="12" customHeight="1" x14ac:dyDescent="0.25">
      <c r="A861" s="10"/>
      <c r="B861" s="10"/>
      <c r="C861" s="10"/>
      <c r="D861" s="10"/>
      <c r="E861" s="10"/>
      <c r="F861" s="10"/>
      <c r="G861" s="10"/>
      <c r="H861" s="10"/>
      <c r="I861" s="10"/>
    </row>
    <row r="862" spans="1:9" x14ac:dyDescent="0.25">
      <c r="A862" s="8" t="s">
        <v>3850</v>
      </c>
      <c r="B862" s="8">
        <v>0</v>
      </c>
      <c r="C862" s="8" t="s">
        <v>3838</v>
      </c>
      <c r="D862" s="8" t="s">
        <v>3842</v>
      </c>
      <c r="E862" s="8" t="s">
        <v>3846</v>
      </c>
    </row>
    <row r="863" spans="1:9" x14ac:dyDescent="0.25">
      <c r="A863" s="8" t="s">
        <v>3850</v>
      </c>
      <c r="B863" s="8">
        <v>1</v>
      </c>
      <c r="C863" s="8" t="s">
        <v>3839</v>
      </c>
      <c r="D863" s="8" t="s">
        <v>3843</v>
      </c>
      <c r="E863" s="8" t="s">
        <v>3847</v>
      </c>
    </row>
    <row r="864" spans="1:9" x14ac:dyDescent="0.25">
      <c r="A864" s="8" t="s">
        <v>3850</v>
      </c>
      <c r="B864" s="8">
        <v>2</v>
      </c>
      <c r="C864" s="8" t="s">
        <v>3840</v>
      </c>
      <c r="D864" s="8" t="s">
        <v>3844</v>
      </c>
      <c r="E864" s="8" t="s">
        <v>3848</v>
      </c>
    </row>
    <row r="865" spans="1:9" x14ac:dyDescent="0.25">
      <c r="A865" s="8" t="s">
        <v>3850</v>
      </c>
      <c r="B865" s="8">
        <v>3</v>
      </c>
      <c r="C865" s="8" t="s">
        <v>3841</v>
      </c>
      <c r="D865" s="8" t="s">
        <v>3845</v>
      </c>
      <c r="E865" s="8" t="s">
        <v>3849</v>
      </c>
    </row>
    <row r="866" spans="1:9" x14ac:dyDescent="0.25">
      <c r="A866" s="8" t="s">
        <v>3850</v>
      </c>
      <c r="B866" s="8">
        <v>96</v>
      </c>
      <c r="C866" s="8" t="s">
        <v>2370</v>
      </c>
      <c r="D866" s="8" t="s">
        <v>653</v>
      </c>
      <c r="E866" s="8" t="s">
        <v>1158</v>
      </c>
    </row>
    <row r="867" spans="1:9" ht="12" customHeight="1" x14ac:dyDescent="0.25">
      <c r="A867" s="10"/>
      <c r="B867" s="10"/>
      <c r="C867" s="10"/>
      <c r="D867" s="10"/>
      <c r="E867" s="10"/>
      <c r="F867" s="10"/>
      <c r="G867" s="10"/>
      <c r="H867" s="10"/>
      <c r="I867" s="10"/>
    </row>
    <row r="868" spans="1:9" x14ac:dyDescent="0.25">
      <c r="A868" s="8" t="s">
        <v>3864</v>
      </c>
      <c r="B868" s="8">
        <v>1</v>
      </c>
      <c r="C868" s="8" t="s">
        <v>3851</v>
      </c>
      <c r="D868" s="8" t="s">
        <v>3854</v>
      </c>
      <c r="E868" s="8" t="s">
        <v>3859</v>
      </c>
    </row>
    <row r="869" spans="1:9" x14ac:dyDescent="0.25">
      <c r="A869" s="8" t="s">
        <v>3864</v>
      </c>
      <c r="B869" s="8">
        <v>2</v>
      </c>
      <c r="C869" s="8" t="s">
        <v>3852</v>
      </c>
      <c r="D869" s="8" t="s">
        <v>3855</v>
      </c>
      <c r="E869" s="8" t="s">
        <v>3860</v>
      </c>
    </row>
    <row r="870" spans="1:9" x14ac:dyDescent="0.25">
      <c r="A870" s="8" t="s">
        <v>3864</v>
      </c>
      <c r="B870" s="8">
        <v>3</v>
      </c>
      <c r="C870" s="8" t="s">
        <v>3853</v>
      </c>
      <c r="D870" s="8" t="s">
        <v>3856</v>
      </c>
      <c r="E870" s="8" t="s">
        <v>3861</v>
      </c>
    </row>
    <row r="871" spans="1:9" x14ac:dyDescent="0.25">
      <c r="A871" s="8" t="s">
        <v>3864</v>
      </c>
      <c r="B871" s="8">
        <v>4</v>
      </c>
      <c r="C871" s="8" t="s">
        <v>834</v>
      </c>
      <c r="D871" s="8" t="s">
        <v>3857</v>
      </c>
      <c r="E871" s="8" t="s">
        <v>3862</v>
      </c>
    </row>
    <row r="872" spans="1:9" x14ac:dyDescent="0.25">
      <c r="A872" s="8" t="s">
        <v>3864</v>
      </c>
      <c r="B872" s="8">
        <v>99</v>
      </c>
      <c r="C872" s="8" t="s">
        <v>846</v>
      </c>
      <c r="D872" s="8" t="s">
        <v>3858</v>
      </c>
      <c r="E872" s="8" t="s">
        <v>3863</v>
      </c>
    </row>
    <row r="873" spans="1:9" ht="12" customHeight="1" x14ac:dyDescent="0.25">
      <c r="A873" s="10"/>
      <c r="B873" s="10"/>
      <c r="C873" s="10"/>
      <c r="D873" s="10"/>
      <c r="E873" s="10"/>
      <c r="F873" s="10"/>
      <c r="G873" s="10"/>
      <c r="H873" s="10"/>
      <c r="I873" s="10"/>
    </row>
    <row r="874" spans="1:9" x14ac:dyDescent="0.25">
      <c r="A874" s="8" t="s">
        <v>3874</v>
      </c>
      <c r="B874" s="8">
        <v>1</v>
      </c>
      <c r="C874" s="8" t="s">
        <v>3865</v>
      </c>
      <c r="D874" s="8" t="s">
        <v>3868</v>
      </c>
      <c r="E874" s="8" t="s">
        <v>3871</v>
      </c>
    </row>
    <row r="875" spans="1:9" x14ac:dyDescent="0.25">
      <c r="A875" s="8" t="s">
        <v>3874</v>
      </c>
      <c r="B875" s="8">
        <v>2</v>
      </c>
      <c r="C875" s="8" t="s">
        <v>3866</v>
      </c>
      <c r="D875" s="8" t="s">
        <v>3869</v>
      </c>
      <c r="E875" s="8" t="s">
        <v>3872</v>
      </c>
    </row>
    <row r="876" spans="1:9" x14ac:dyDescent="0.25">
      <c r="A876" s="8" t="s">
        <v>3874</v>
      </c>
      <c r="B876" s="8">
        <v>3</v>
      </c>
      <c r="C876" s="8" t="s">
        <v>3867</v>
      </c>
      <c r="D876" s="8" t="s">
        <v>3870</v>
      </c>
      <c r="E876" s="8" t="s">
        <v>3873</v>
      </c>
    </row>
    <row r="877" spans="1:9" x14ac:dyDescent="0.25">
      <c r="A877" s="8" t="s">
        <v>3874</v>
      </c>
      <c r="B877" s="8">
        <v>99</v>
      </c>
      <c r="C877" s="8" t="s">
        <v>846</v>
      </c>
      <c r="D877" s="8" t="s">
        <v>3858</v>
      </c>
      <c r="E877" s="8" t="s">
        <v>1191</v>
      </c>
    </row>
    <row r="878" spans="1:9" ht="12" customHeight="1" x14ac:dyDescent="0.25">
      <c r="A878" s="10"/>
      <c r="B878" s="10"/>
      <c r="C878" s="10"/>
      <c r="D878" s="10"/>
      <c r="E878" s="10"/>
      <c r="F878" s="10"/>
      <c r="G878" s="10"/>
      <c r="H878" s="10"/>
      <c r="I878" s="10"/>
    </row>
    <row r="879" spans="1:9" x14ac:dyDescent="0.25">
      <c r="A879" s="8" t="s">
        <v>3889</v>
      </c>
      <c r="B879" s="8">
        <v>1</v>
      </c>
      <c r="C879" s="8" t="s">
        <v>3875</v>
      </c>
      <c r="D879" s="8" t="s">
        <v>3880</v>
      </c>
      <c r="E879" s="8" t="s">
        <v>3885</v>
      </c>
    </row>
    <row r="880" spans="1:9" x14ac:dyDescent="0.25">
      <c r="A880" s="8" t="s">
        <v>3889</v>
      </c>
      <c r="B880" s="8">
        <v>2</v>
      </c>
      <c r="C880" s="8" t="s">
        <v>3876</v>
      </c>
      <c r="D880" s="8" t="s">
        <v>3881</v>
      </c>
      <c r="E880" s="8" t="s">
        <v>3886</v>
      </c>
    </row>
    <row r="881" spans="1:9" x14ac:dyDescent="0.25">
      <c r="A881" s="8" t="s">
        <v>3889</v>
      </c>
      <c r="B881" s="8">
        <v>3</v>
      </c>
      <c r="C881" s="8" t="s">
        <v>3877</v>
      </c>
      <c r="D881" s="8" t="s">
        <v>3882</v>
      </c>
      <c r="E881" s="8" t="s">
        <v>3887</v>
      </c>
    </row>
    <row r="882" spans="1:9" x14ac:dyDescent="0.25">
      <c r="A882" s="8" t="s">
        <v>3889</v>
      </c>
      <c r="B882" s="8">
        <v>4</v>
      </c>
      <c r="C882" s="8" t="s">
        <v>3878</v>
      </c>
      <c r="D882" s="8" t="s">
        <v>3883</v>
      </c>
      <c r="E882" s="8" t="s">
        <v>3888</v>
      </c>
    </row>
    <row r="883" spans="1:9" x14ac:dyDescent="0.25">
      <c r="A883" s="8" t="s">
        <v>3889</v>
      </c>
      <c r="B883" s="8">
        <v>99</v>
      </c>
      <c r="C883" s="8" t="s">
        <v>846</v>
      </c>
      <c r="D883" s="8" t="s">
        <v>86</v>
      </c>
      <c r="E883" s="8" t="s">
        <v>1191</v>
      </c>
    </row>
    <row r="884" spans="1:9" x14ac:dyDescent="0.25">
      <c r="A884" s="8" t="s">
        <v>3889</v>
      </c>
      <c r="B884" s="8">
        <v>98</v>
      </c>
      <c r="C884" s="8" t="s">
        <v>3879</v>
      </c>
      <c r="D884" s="8" t="s">
        <v>3884</v>
      </c>
      <c r="E884" s="8" t="s">
        <v>3849</v>
      </c>
    </row>
    <row r="885" spans="1:9" ht="12" customHeight="1" x14ac:dyDescent="0.25">
      <c r="A885" s="10"/>
      <c r="B885" s="10"/>
      <c r="C885" s="10"/>
      <c r="D885" s="10"/>
      <c r="E885" s="10"/>
      <c r="F885" s="10"/>
      <c r="G885" s="10"/>
      <c r="H885" s="10"/>
      <c r="I885" s="10"/>
    </row>
    <row r="886" spans="1:9" x14ac:dyDescent="0.25">
      <c r="A886" s="8" t="s">
        <v>3894</v>
      </c>
      <c r="B886" s="8">
        <v>1</v>
      </c>
      <c r="C886" s="8" t="s">
        <v>3895</v>
      </c>
      <c r="D886" s="8" t="s">
        <v>3905</v>
      </c>
      <c r="E886" s="8" t="s">
        <v>3900</v>
      </c>
    </row>
    <row r="887" spans="1:9" x14ac:dyDescent="0.25">
      <c r="A887" s="8" t="s">
        <v>3894</v>
      </c>
      <c r="B887" s="8">
        <v>2</v>
      </c>
      <c r="C887" s="8" t="s">
        <v>3896</v>
      </c>
      <c r="D887" s="8" t="s">
        <v>3906</v>
      </c>
      <c r="E887" s="8" t="s">
        <v>3901</v>
      </c>
    </row>
    <row r="888" spans="1:9" x14ac:dyDescent="0.25">
      <c r="A888" s="8" t="s">
        <v>3894</v>
      </c>
      <c r="B888" s="8">
        <v>3</v>
      </c>
      <c r="C888" s="8" t="s">
        <v>3897</v>
      </c>
      <c r="D888" s="8" t="s">
        <v>3907</v>
      </c>
      <c r="E888" s="8" t="s">
        <v>3902</v>
      </c>
    </row>
    <row r="889" spans="1:9" x14ac:dyDescent="0.25">
      <c r="A889" s="8" t="s">
        <v>3894</v>
      </c>
      <c r="B889" s="8">
        <v>4</v>
      </c>
      <c r="C889" s="8" t="s">
        <v>3898</v>
      </c>
      <c r="D889" s="8" t="s">
        <v>3908</v>
      </c>
      <c r="E889" s="8" t="s">
        <v>3903</v>
      </c>
    </row>
    <row r="890" spans="1:9" x14ac:dyDescent="0.25">
      <c r="A890" s="8" t="s">
        <v>3894</v>
      </c>
      <c r="B890" s="8">
        <v>5</v>
      </c>
      <c r="C890" s="8" t="s">
        <v>3899</v>
      </c>
      <c r="D890" s="8" t="s">
        <v>3909</v>
      </c>
      <c r="E890" s="8" t="s">
        <v>3904</v>
      </c>
    </row>
    <row r="891" spans="1:9" ht="12" customHeight="1" x14ac:dyDescent="0.25">
      <c r="A891" s="10"/>
      <c r="B891" s="10"/>
      <c r="C891" s="10"/>
      <c r="D891" s="10"/>
      <c r="E891" s="10"/>
      <c r="F891" s="10"/>
      <c r="G891" s="10"/>
      <c r="H891" s="10"/>
      <c r="I891" s="10"/>
    </row>
    <row r="892" spans="1:9" x14ac:dyDescent="0.25">
      <c r="A892" s="8" t="s">
        <v>3931</v>
      </c>
      <c r="B892" s="8">
        <v>1</v>
      </c>
      <c r="C892" s="8" t="s">
        <v>3916</v>
      </c>
      <c r="D892" s="8" t="s">
        <v>3921</v>
      </c>
      <c r="E892" s="8" t="s">
        <v>3926</v>
      </c>
    </row>
    <row r="893" spans="1:9" x14ac:dyDescent="0.25">
      <c r="A893" s="8" t="s">
        <v>3931</v>
      </c>
      <c r="B893" s="8">
        <v>2</v>
      </c>
      <c r="C893" s="8" t="s">
        <v>3917</v>
      </c>
      <c r="D893" s="8" t="s">
        <v>3922</v>
      </c>
      <c r="E893" s="8" t="s">
        <v>3927</v>
      </c>
    </row>
    <row r="894" spans="1:9" x14ac:dyDescent="0.25">
      <c r="A894" s="8" t="s">
        <v>3931</v>
      </c>
      <c r="B894" s="8">
        <v>3</v>
      </c>
      <c r="C894" s="8" t="s">
        <v>3918</v>
      </c>
      <c r="D894" s="8" t="s">
        <v>3923</v>
      </c>
      <c r="E894" s="8" t="s">
        <v>3928</v>
      </c>
    </row>
    <row r="895" spans="1:9" x14ac:dyDescent="0.25">
      <c r="A895" s="8" t="s">
        <v>3931</v>
      </c>
      <c r="B895" s="8">
        <v>4</v>
      </c>
      <c r="C895" s="8" t="s">
        <v>3919</v>
      </c>
      <c r="D895" s="8" t="s">
        <v>3924</v>
      </c>
      <c r="E895" s="8" t="s">
        <v>3929</v>
      </c>
    </row>
    <row r="896" spans="1:9" x14ac:dyDescent="0.25">
      <c r="A896" s="8" t="s">
        <v>3931</v>
      </c>
      <c r="B896" s="8">
        <v>5</v>
      </c>
      <c r="C896" s="8" t="s">
        <v>3920</v>
      </c>
      <c r="D896" s="8" t="s">
        <v>3925</v>
      </c>
      <c r="E896" s="8" t="s">
        <v>3930</v>
      </c>
    </row>
    <row r="897" spans="1:9" ht="12" customHeight="1" x14ac:dyDescent="0.25">
      <c r="A897" s="10"/>
      <c r="B897" s="10"/>
      <c r="C897" s="10"/>
      <c r="D897" s="10"/>
      <c r="E897" s="10"/>
      <c r="F897" s="10"/>
      <c r="G897" s="10"/>
      <c r="H897" s="10"/>
      <c r="I897" s="10"/>
    </row>
    <row r="898" spans="1:9" x14ac:dyDescent="0.25">
      <c r="A898" s="8" t="s">
        <v>4010</v>
      </c>
      <c r="B898" s="8">
        <v>1</v>
      </c>
      <c r="C898" s="8" t="s">
        <v>3989</v>
      </c>
      <c r="D898" s="8" t="s">
        <v>3996</v>
      </c>
      <c r="E898" s="8" t="s">
        <v>4003</v>
      </c>
    </row>
    <row r="899" spans="1:9" x14ac:dyDescent="0.25">
      <c r="A899" s="8" t="s">
        <v>4010</v>
      </c>
      <c r="B899" s="8">
        <v>2</v>
      </c>
      <c r="C899" s="8" t="s">
        <v>3990</v>
      </c>
      <c r="D899" s="8" t="s">
        <v>3997</v>
      </c>
      <c r="E899" s="8" t="s">
        <v>4004</v>
      </c>
    </row>
    <row r="900" spans="1:9" x14ac:dyDescent="0.25">
      <c r="A900" s="8" t="s">
        <v>4010</v>
      </c>
      <c r="B900" s="8">
        <v>3</v>
      </c>
      <c r="C900" s="8" t="s">
        <v>3991</v>
      </c>
      <c r="D900" s="8" t="s">
        <v>3998</v>
      </c>
      <c r="E900" s="8" t="s">
        <v>4005</v>
      </c>
    </row>
    <row r="901" spans="1:9" x14ac:dyDescent="0.25">
      <c r="A901" s="8" t="s">
        <v>4010</v>
      </c>
      <c r="B901" s="8">
        <v>4</v>
      </c>
      <c r="C901" s="8" t="s">
        <v>3992</v>
      </c>
      <c r="D901" s="8" t="s">
        <v>3999</v>
      </c>
      <c r="E901" s="8" t="s">
        <v>4006</v>
      </c>
    </row>
    <row r="902" spans="1:9" x14ac:dyDescent="0.25">
      <c r="A902" s="8" t="s">
        <v>4010</v>
      </c>
      <c r="B902" s="8">
        <v>5</v>
      </c>
      <c r="C902" s="8" t="s">
        <v>3993</v>
      </c>
      <c r="D902" s="8" t="s">
        <v>4000</v>
      </c>
      <c r="E902" s="8" t="s">
        <v>4007</v>
      </c>
    </row>
    <row r="903" spans="1:9" x14ac:dyDescent="0.25">
      <c r="A903" s="8" t="s">
        <v>4010</v>
      </c>
      <c r="B903" s="8">
        <v>6</v>
      </c>
      <c r="C903" s="8" t="s">
        <v>3994</v>
      </c>
      <c r="D903" s="8" t="s">
        <v>4001</v>
      </c>
      <c r="E903" s="8" t="s">
        <v>4008</v>
      </c>
    </row>
    <row r="904" spans="1:9" x14ac:dyDescent="0.25">
      <c r="A904" s="8" t="s">
        <v>4010</v>
      </c>
      <c r="B904" s="8">
        <v>7</v>
      </c>
      <c r="C904" s="8" t="s">
        <v>3995</v>
      </c>
      <c r="D904" s="8" t="s">
        <v>4002</v>
      </c>
      <c r="E904" s="8" t="s">
        <v>4009</v>
      </c>
    </row>
    <row r="905" spans="1:9" x14ac:dyDescent="0.25">
      <c r="A905" s="8" t="s">
        <v>4010</v>
      </c>
      <c r="B905" s="8">
        <v>96</v>
      </c>
      <c r="C905" s="8" t="s">
        <v>78</v>
      </c>
      <c r="D905" s="8" t="s">
        <v>79</v>
      </c>
      <c r="E905" s="8" t="s">
        <v>1150</v>
      </c>
    </row>
    <row r="906" spans="1:9" ht="12" customHeight="1" x14ac:dyDescent="0.25">
      <c r="A906" s="10"/>
      <c r="B906" s="10"/>
      <c r="C906" s="10"/>
      <c r="D906" s="10"/>
      <c r="E906" s="10"/>
      <c r="F906" s="10"/>
      <c r="G906" s="10"/>
      <c r="H906" s="10"/>
      <c r="I906" s="10"/>
    </row>
    <row r="907" spans="1:9" x14ac:dyDescent="0.25">
      <c r="A907" s="8" t="s">
        <v>4014</v>
      </c>
      <c r="B907" s="7">
        <v>1</v>
      </c>
      <c r="C907" s="16" t="s">
        <v>4015</v>
      </c>
      <c r="D907" s="16" t="s">
        <v>4015</v>
      </c>
      <c r="E907" s="16" t="s">
        <v>4015</v>
      </c>
      <c r="F907" s="7"/>
      <c r="G907" s="7">
        <v>1</v>
      </c>
    </row>
    <row r="908" spans="1:9" x14ac:dyDescent="0.25">
      <c r="A908" s="8" t="s">
        <v>4014</v>
      </c>
      <c r="B908" s="7">
        <v>2</v>
      </c>
      <c r="C908" s="16" t="s">
        <v>4026</v>
      </c>
      <c r="D908" s="16" t="s">
        <v>4026</v>
      </c>
      <c r="E908" s="16" t="s">
        <v>4026</v>
      </c>
      <c r="F908" s="7"/>
      <c r="G908" s="7">
        <v>2</v>
      </c>
    </row>
    <row r="909" spans="1:9" x14ac:dyDescent="0.25">
      <c r="A909" s="8" t="s">
        <v>4014</v>
      </c>
      <c r="B909" s="7">
        <v>3</v>
      </c>
      <c r="C909" s="16" t="s">
        <v>4027</v>
      </c>
      <c r="D909" s="16" t="s">
        <v>4027</v>
      </c>
      <c r="E909" s="16" t="s">
        <v>4027</v>
      </c>
      <c r="F909" s="7"/>
      <c r="G909" s="7">
        <v>3</v>
      </c>
    </row>
    <row r="910" spans="1:9" x14ac:dyDescent="0.25">
      <c r="A910" s="8" t="s">
        <v>4014</v>
      </c>
      <c r="B910" s="7">
        <v>4</v>
      </c>
      <c r="C910" s="16" t="s">
        <v>4028</v>
      </c>
      <c r="D910" s="16" t="s">
        <v>4028</v>
      </c>
      <c r="E910" s="16" t="s">
        <v>4028</v>
      </c>
      <c r="F910" s="7"/>
      <c r="G910" s="7">
        <v>4</v>
      </c>
    </row>
    <row r="911" spans="1:9" x14ac:dyDescent="0.25">
      <c r="A911" s="8" t="s">
        <v>4014</v>
      </c>
      <c r="B911" s="7">
        <v>5</v>
      </c>
      <c r="C911" s="16" t="s">
        <v>4029</v>
      </c>
      <c r="D911" s="16" t="s">
        <v>4029</v>
      </c>
      <c r="E911" s="16" t="s">
        <v>4029</v>
      </c>
      <c r="F911" s="7"/>
      <c r="G911" s="7">
        <v>5</v>
      </c>
    </row>
    <row r="912" spans="1:9" x14ac:dyDescent="0.25">
      <c r="A912" s="8" t="s">
        <v>4014</v>
      </c>
      <c r="B912" s="7">
        <v>6</v>
      </c>
      <c r="C912" s="16" t="s">
        <v>4030</v>
      </c>
      <c r="D912" s="16" t="s">
        <v>4030</v>
      </c>
      <c r="E912" s="16" t="s">
        <v>4030</v>
      </c>
      <c r="F912" s="7"/>
      <c r="G912" s="7">
        <v>6</v>
      </c>
    </row>
    <row r="913" spans="1:7" x14ac:dyDescent="0.25">
      <c r="A913" s="8" t="s">
        <v>4014</v>
      </c>
      <c r="B913" s="7">
        <v>7</v>
      </c>
      <c r="C913" s="16" t="s">
        <v>4031</v>
      </c>
      <c r="D913" s="16" t="s">
        <v>4031</v>
      </c>
      <c r="E913" s="16" t="s">
        <v>4031</v>
      </c>
      <c r="F913" s="7"/>
      <c r="G913" s="7">
        <v>7</v>
      </c>
    </row>
    <row r="914" spans="1:7" x14ac:dyDescent="0.25">
      <c r="A914" s="8" t="s">
        <v>4014</v>
      </c>
      <c r="B914" s="7">
        <v>8</v>
      </c>
      <c r="C914" s="16" t="s">
        <v>4032</v>
      </c>
      <c r="D914" s="16" t="s">
        <v>4032</v>
      </c>
      <c r="E914" s="16" t="s">
        <v>4032</v>
      </c>
      <c r="F914" s="7"/>
      <c r="G914" s="7">
        <v>8</v>
      </c>
    </row>
    <row r="915" spans="1:7" x14ac:dyDescent="0.25">
      <c r="A915" s="8" t="s">
        <v>4014</v>
      </c>
      <c r="B915" s="7">
        <v>9</v>
      </c>
      <c r="C915" s="16" t="s">
        <v>4033</v>
      </c>
      <c r="D915" s="16" t="s">
        <v>4033</v>
      </c>
      <c r="E915" s="16" t="s">
        <v>4033</v>
      </c>
      <c r="F915" s="7"/>
      <c r="G915" s="7">
        <v>9</v>
      </c>
    </row>
    <row r="916" spans="1:7" x14ac:dyDescent="0.25">
      <c r="A916" s="8" t="s">
        <v>4014</v>
      </c>
      <c r="B916" s="7">
        <v>10</v>
      </c>
      <c r="C916" s="16" t="s">
        <v>4016</v>
      </c>
      <c r="D916" s="16" t="s">
        <v>4016</v>
      </c>
      <c r="E916" s="16" t="s">
        <v>4016</v>
      </c>
      <c r="F916" s="7"/>
      <c r="G916" s="7">
        <v>10</v>
      </c>
    </row>
    <row r="917" spans="1:7" x14ac:dyDescent="0.25">
      <c r="A917" s="8" t="s">
        <v>4014</v>
      </c>
      <c r="B917" s="7">
        <v>11</v>
      </c>
      <c r="C917" s="16" t="s">
        <v>4017</v>
      </c>
      <c r="D917" s="16" t="s">
        <v>4017</v>
      </c>
      <c r="E917" s="16" t="s">
        <v>4017</v>
      </c>
      <c r="F917" s="7"/>
      <c r="G917" s="7">
        <v>11</v>
      </c>
    </row>
    <row r="918" spans="1:7" x14ac:dyDescent="0.25">
      <c r="A918" s="8" t="s">
        <v>4014</v>
      </c>
      <c r="B918" s="7">
        <v>12</v>
      </c>
      <c r="C918" s="16" t="s">
        <v>4018</v>
      </c>
      <c r="D918" s="16" t="s">
        <v>4018</v>
      </c>
      <c r="E918" s="16" t="s">
        <v>4018</v>
      </c>
      <c r="F918" s="7"/>
      <c r="G918" s="7">
        <v>12</v>
      </c>
    </row>
    <row r="919" spans="1:7" x14ac:dyDescent="0.25">
      <c r="A919" s="8" t="s">
        <v>4014</v>
      </c>
      <c r="B919" s="7">
        <v>13</v>
      </c>
      <c r="C919" s="16" t="s">
        <v>4019</v>
      </c>
      <c r="D919" s="16" t="s">
        <v>4019</v>
      </c>
      <c r="E919" s="16" t="s">
        <v>4019</v>
      </c>
      <c r="F919" s="7"/>
      <c r="G919" s="7">
        <v>13</v>
      </c>
    </row>
    <row r="920" spans="1:7" x14ac:dyDescent="0.25">
      <c r="A920" s="8" t="s">
        <v>4014</v>
      </c>
      <c r="B920" s="7">
        <v>14</v>
      </c>
      <c r="C920" s="16" t="s">
        <v>4020</v>
      </c>
      <c r="D920" s="16" t="s">
        <v>4020</v>
      </c>
      <c r="E920" s="16" t="s">
        <v>4020</v>
      </c>
      <c r="F920" s="7"/>
      <c r="G920" s="7">
        <v>14</v>
      </c>
    </row>
    <row r="921" spans="1:7" x14ac:dyDescent="0.25">
      <c r="A921" s="8" t="s">
        <v>4014</v>
      </c>
      <c r="B921" s="7">
        <v>15</v>
      </c>
      <c r="C921" s="16" t="s">
        <v>4021</v>
      </c>
      <c r="D921" s="16" t="s">
        <v>4021</v>
      </c>
      <c r="E921" s="16" t="s">
        <v>4021</v>
      </c>
      <c r="F921" s="7"/>
      <c r="G921" s="7">
        <v>15</v>
      </c>
    </row>
    <row r="922" spans="1:7" x14ac:dyDescent="0.25">
      <c r="A922" s="8" t="s">
        <v>4014</v>
      </c>
      <c r="B922" s="7">
        <v>16</v>
      </c>
      <c r="C922" s="16" t="s">
        <v>4022</v>
      </c>
      <c r="D922" s="16" t="s">
        <v>4022</v>
      </c>
      <c r="E922" s="16" t="s">
        <v>4022</v>
      </c>
      <c r="F922" s="7"/>
      <c r="G922" s="7">
        <v>16</v>
      </c>
    </row>
    <row r="923" spans="1:7" x14ac:dyDescent="0.25">
      <c r="A923" s="8" t="s">
        <v>4014</v>
      </c>
      <c r="B923" s="7">
        <v>17</v>
      </c>
      <c r="C923" s="16" t="s">
        <v>4023</v>
      </c>
      <c r="D923" s="16" t="s">
        <v>4023</v>
      </c>
      <c r="E923" s="16" t="s">
        <v>4023</v>
      </c>
      <c r="F923" s="7"/>
      <c r="G923" s="7">
        <v>17</v>
      </c>
    </row>
    <row r="924" spans="1:7" x14ac:dyDescent="0.25">
      <c r="A924" s="8" t="s">
        <v>4014</v>
      </c>
      <c r="B924" s="7">
        <v>18</v>
      </c>
      <c r="C924" s="16" t="s">
        <v>4024</v>
      </c>
      <c r="D924" s="16" t="s">
        <v>4024</v>
      </c>
      <c r="E924" s="16" t="s">
        <v>4024</v>
      </c>
      <c r="F924" s="7"/>
      <c r="G924" s="7">
        <v>18</v>
      </c>
    </row>
    <row r="925" spans="1:7" x14ac:dyDescent="0.25">
      <c r="A925" s="8" t="s">
        <v>4014</v>
      </c>
      <c r="B925" s="7">
        <v>19</v>
      </c>
      <c r="C925" s="16" t="s">
        <v>4025</v>
      </c>
      <c r="D925" s="16" t="s">
        <v>4025</v>
      </c>
      <c r="E925" s="16" t="s">
        <v>4025</v>
      </c>
      <c r="F925" s="7"/>
      <c r="G925" s="7">
        <v>19</v>
      </c>
    </row>
    <row r="926" spans="1:7" x14ac:dyDescent="0.25">
      <c r="A926" s="8" t="s">
        <v>4014</v>
      </c>
      <c r="B926" s="7">
        <v>20</v>
      </c>
      <c r="C926" s="16" t="s">
        <v>4034</v>
      </c>
      <c r="D926" s="16" t="s">
        <v>4034</v>
      </c>
      <c r="E926" s="16" t="s">
        <v>4034</v>
      </c>
      <c r="F926" s="7"/>
      <c r="G926" s="7">
        <v>20</v>
      </c>
    </row>
    <row r="927" spans="1:7" x14ac:dyDescent="0.25">
      <c r="A927" s="8" t="s">
        <v>4014</v>
      </c>
      <c r="B927" s="7">
        <v>21</v>
      </c>
      <c r="C927" s="16" t="s">
        <v>4035</v>
      </c>
      <c r="D927" s="16" t="s">
        <v>4035</v>
      </c>
      <c r="E927" s="16" t="s">
        <v>4035</v>
      </c>
      <c r="F927" s="7"/>
      <c r="G927" s="7">
        <v>21</v>
      </c>
    </row>
    <row r="928" spans="1:7" x14ac:dyDescent="0.25">
      <c r="A928" s="8" t="s">
        <v>4014</v>
      </c>
      <c r="B928" s="7">
        <v>22</v>
      </c>
      <c r="C928" s="16" t="s">
        <v>4036</v>
      </c>
      <c r="D928" s="16" t="s">
        <v>4036</v>
      </c>
      <c r="E928" s="16" t="s">
        <v>4036</v>
      </c>
      <c r="F928" s="7"/>
      <c r="G928" s="7">
        <v>22</v>
      </c>
    </row>
    <row r="929" spans="1:9" x14ac:dyDescent="0.25">
      <c r="A929" s="8" t="s">
        <v>4014</v>
      </c>
      <c r="B929" s="7">
        <v>23</v>
      </c>
      <c r="C929" s="16" t="s">
        <v>4037</v>
      </c>
      <c r="D929" s="16" t="s">
        <v>4037</v>
      </c>
      <c r="E929" s="16" t="s">
        <v>4037</v>
      </c>
      <c r="F929" s="7"/>
      <c r="G929" s="7">
        <v>23</v>
      </c>
    </row>
    <row r="930" spans="1:9" x14ac:dyDescent="0.25">
      <c r="A930" s="8" t="s">
        <v>4014</v>
      </c>
      <c r="B930" s="7">
        <v>24</v>
      </c>
      <c r="C930" s="16" t="s">
        <v>4038</v>
      </c>
      <c r="D930" s="16" t="s">
        <v>4038</v>
      </c>
      <c r="E930" s="16" t="s">
        <v>4038</v>
      </c>
      <c r="F930" s="7"/>
      <c r="G930" s="7">
        <v>24</v>
      </c>
    </row>
    <row r="931" spans="1:9" x14ac:dyDescent="0.25">
      <c r="A931" s="8" t="s">
        <v>4014</v>
      </c>
      <c r="B931" s="7">
        <v>25</v>
      </c>
      <c r="C931" s="16" t="s">
        <v>4039</v>
      </c>
      <c r="D931" s="16" t="s">
        <v>4039</v>
      </c>
      <c r="E931" s="16" t="s">
        <v>4039</v>
      </c>
      <c r="F931" s="7"/>
      <c r="G931" s="7">
        <v>25</v>
      </c>
    </row>
    <row r="932" spans="1:9" ht="12" customHeight="1" x14ac:dyDescent="0.25">
      <c r="A932" s="10"/>
      <c r="B932" s="10"/>
      <c r="C932" s="10"/>
      <c r="D932" s="10"/>
      <c r="E932" s="10"/>
      <c r="F932" s="10"/>
      <c r="G932" s="10"/>
      <c r="H932" s="10"/>
      <c r="I932" s="10"/>
    </row>
    <row r="933" spans="1:9" x14ac:dyDescent="0.25">
      <c r="A933" s="6" t="s">
        <v>4338</v>
      </c>
      <c r="B933" s="8">
        <v>1</v>
      </c>
      <c r="C933" s="8" t="s">
        <v>4040</v>
      </c>
      <c r="D933" s="8" t="s">
        <v>4044</v>
      </c>
      <c r="E933" s="8" t="s">
        <v>4048</v>
      </c>
    </row>
    <row r="934" spans="1:9" x14ac:dyDescent="0.25">
      <c r="A934" s="6" t="s">
        <v>4338</v>
      </c>
      <c r="B934" s="8">
        <v>2</v>
      </c>
      <c r="C934" s="8" t="s">
        <v>4041</v>
      </c>
      <c r="D934" s="8" t="s">
        <v>4045</v>
      </c>
      <c r="E934" s="8" t="s">
        <v>4049</v>
      </c>
    </row>
    <row r="935" spans="1:9" x14ac:dyDescent="0.25">
      <c r="A935" s="6" t="s">
        <v>4338</v>
      </c>
      <c r="B935" s="8">
        <v>3</v>
      </c>
      <c r="C935" s="8" t="s">
        <v>4042</v>
      </c>
      <c r="D935" s="8" t="s">
        <v>4046</v>
      </c>
      <c r="E935" s="8" t="s">
        <v>4050</v>
      </c>
    </row>
    <row r="936" spans="1:9" x14ac:dyDescent="0.25">
      <c r="A936" s="6" t="s">
        <v>4338</v>
      </c>
      <c r="B936" s="8">
        <v>4</v>
      </c>
      <c r="C936" s="8" t="s">
        <v>4043</v>
      </c>
      <c r="D936" s="8" t="s">
        <v>4047</v>
      </c>
      <c r="E936" s="8" t="s">
        <v>4051</v>
      </c>
    </row>
    <row r="937" spans="1:9" x14ac:dyDescent="0.25">
      <c r="A937" s="6" t="s">
        <v>4338</v>
      </c>
      <c r="B937" s="8">
        <v>5</v>
      </c>
      <c r="C937" s="8" t="s">
        <v>490</v>
      </c>
      <c r="D937" s="8" t="s">
        <v>436</v>
      </c>
      <c r="E937" s="8" t="s">
        <v>4052</v>
      </c>
    </row>
    <row r="938" spans="1:9" x14ac:dyDescent="0.25">
      <c r="A938" s="6" t="s">
        <v>4338</v>
      </c>
      <c r="B938" s="8">
        <v>98</v>
      </c>
      <c r="C938" s="8" t="s">
        <v>85</v>
      </c>
      <c r="D938" s="8" t="s">
        <v>86</v>
      </c>
      <c r="E938" s="8" t="s">
        <v>1191</v>
      </c>
    </row>
    <row r="939" spans="1:9" ht="12" customHeight="1" x14ac:dyDescent="0.25">
      <c r="A939" s="10"/>
      <c r="B939" s="10"/>
      <c r="C939" s="10"/>
      <c r="D939" s="10"/>
      <c r="E939" s="10"/>
      <c r="F939" s="10"/>
      <c r="G939" s="10"/>
      <c r="H939" s="10"/>
      <c r="I939" s="10"/>
    </row>
    <row r="940" spans="1:9" x14ac:dyDescent="0.25">
      <c r="A940" s="6" t="s">
        <v>4056</v>
      </c>
      <c r="B940" s="8">
        <v>0</v>
      </c>
      <c r="C940" s="8" t="s">
        <v>4057</v>
      </c>
      <c r="D940" s="8" t="s">
        <v>4065</v>
      </c>
      <c r="E940" s="8" t="s">
        <v>1021</v>
      </c>
    </row>
    <row r="941" spans="1:9" x14ac:dyDescent="0.25">
      <c r="A941" s="6" t="s">
        <v>4056</v>
      </c>
      <c r="B941" s="8">
        <v>1</v>
      </c>
      <c r="C941" s="8" t="s">
        <v>4058</v>
      </c>
      <c r="D941" s="8" t="s">
        <v>4066</v>
      </c>
      <c r="E941" s="8" t="s">
        <v>4073</v>
      </c>
    </row>
    <row r="942" spans="1:9" x14ac:dyDescent="0.25">
      <c r="A942" s="6" t="s">
        <v>4056</v>
      </c>
      <c r="B942" s="8">
        <v>2</v>
      </c>
      <c r="C942" s="8" t="s">
        <v>4059</v>
      </c>
      <c r="D942" s="8" t="s">
        <v>4067</v>
      </c>
      <c r="E942" s="8" t="s">
        <v>4074</v>
      </c>
    </row>
    <row r="943" spans="1:9" x14ac:dyDescent="0.25">
      <c r="A943" s="6" t="s">
        <v>4056</v>
      </c>
      <c r="B943" s="8">
        <v>3</v>
      </c>
      <c r="C943" s="8" t="s">
        <v>4060</v>
      </c>
      <c r="D943" s="8" t="s">
        <v>4068</v>
      </c>
      <c r="E943" s="8" t="s">
        <v>4075</v>
      </c>
    </row>
    <row r="944" spans="1:9" x14ac:dyDescent="0.25">
      <c r="A944" s="6" t="s">
        <v>4056</v>
      </c>
      <c r="B944" s="8">
        <v>4</v>
      </c>
      <c r="C944" s="8" t="s">
        <v>4061</v>
      </c>
      <c r="D944" s="8" t="s">
        <v>4069</v>
      </c>
      <c r="E944" s="8" t="s">
        <v>4076</v>
      </c>
    </row>
    <row r="945" spans="1:9" x14ac:dyDescent="0.25">
      <c r="A945" s="6" t="s">
        <v>4056</v>
      </c>
      <c r="B945" s="8">
        <v>5</v>
      </c>
      <c r="C945" s="8" t="s">
        <v>4062</v>
      </c>
      <c r="D945" s="8" t="s">
        <v>4070</v>
      </c>
      <c r="E945" s="8" t="s">
        <v>4077</v>
      </c>
    </row>
    <row r="946" spans="1:9" x14ac:dyDescent="0.25">
      <c r="A946" s="6" t="s">
        <v>4056</v>
      </c>
      <c r="B946" s="8">
        <v>6</v>
      </c>
      <c r="C946" s="8" t="s">
        <v>4063</v>
      </c>
      <c r="D946" s="8" t="s">
        <v>4071</v>
      </c>
      <c r="E946" s="8" t="s">
        <v>4078</v>
      </c>
    </row>
    <row r="947" spans="1:9" x14ac:dyDescent="0.25">
      <c r="A947" s="6" t="s">
        <v>4056</v>
      </c>
      <c r="B947" s="8">
        <v>7</v>
      </c>
      <c r="C947" s="8" t="s">
        <v>4064</v>
      </c>
      <c r="D947" s="8" t="s">
        <v>4072</v>
      </c>
      <c r="E947" s="8" t="s">
        <v>4079</v>
      </c>
    </row>
    <row r="948" spans="1:9" ht="12" customHeight="1" x14ac:dyDescent="0.25">
      <c r="A948" s="10"/>
      <c r="B948" s="10"/>
      <c r="C948" s="10"/>
      <c r="D948" s="10"/>
      <c r="E948" s="10"/>
      <c r="F948" s="10"/>
      <c r="G948" s="10"/>
      <c r="H948" s="10"/>
      <c r="I948" s="10"/>
    </row>
    <row r="949" spans="1:9" x14ac:dyDescent="0.25">
      <c r="A949" s="7" t="s">
        <v>4136</v>
      </c>
      <c r="B949" s="7">
        <v>1</v>
      </c>
      <c r="C949" s="7" t="s">
        <v>2312</v>
      </c>
      <c r="D949" s="7" t="s">
        <v>1214</v>
      </c>
      <c r="E949" s="7" t="s">
        <v>1214</v>
      </c>
    </row>
    <row r="950" spans="1:9" x14ac:dyDescent="0.25">
      <c r="A950" s="7" t="s">
        <v>4136</v>
      </c>
      <c r="B950" s="7">
        <v>2</v>
      </c>
      <c r="C950" s="7" t="s">
        <v>2313</v>
      </c>
      <c r="D950" s="7" t="s">
        <v>1215</v>
      </c>
      <c r="E950" s="7" t="s">
        <v>1215</v>
      </c>
    </row>
    <row r="951" spans="1:9" x14ac:dyDescent="0.25">
      <c r="A951" s="7" t="s">
        <v>4136</v>
      </c>
      <c r="B951" s="7">
        <v>3</v>
      </c>
      <c r="C951" s="7" t="s">
        <v>2314</v>
      </c>
      <c r="D951" s="7" t="s">
        <v>1216</v>
      </c>
      <c r="E951" s="7" t="s">
        <v>1216</v>
      </c>
    </row>
    <row r="952" spans="1:9" ht="12" customHeight="1" x14ac:dyDescent="0.25">
      <c r="A952" s="10"/>
      <c r="B952" s="10"/>
      <c r="C952" s="10"/>
      <c r="D952" s="10"/>
      <c r="E952" s="10"/>
      <c r="F952" s="10"/>
      <c r="G952" s="10"/>
      <c r="H952" s="10"/>
      <c r="I952" s="10"/>
    </row>
    <row r="953" spans="1:9" x14ac:dyDescent="0.25">
      <c r="A953" s="8" t="s">
        <v>4341</v>
      </c>
      <c r="B953" s="8">
        <v>1</v>
      </c>
      <c r="C953" s="8" t="s">
        <v>4145</v>
      </c>
      <c r="D953" s="8" t="s">
        <v>4165</v>
      </c>
      <c r="E953" s="8" t="s">
        <v>4185</v>
      </c>
    </row>
    <row r="954" spans="1:9" x14ac:dyDescent="0.25">
      <c r="A954" s="8" t="s">
        <v>4341</v>
      </c>
      <c r="B954" s="8">
        <v>2</v>
      </c>
      <c r="C954" s="8" t="s">
        <v>4146</v>
      </c>
      <c r="D954" s="8" t="s">
        <v>4166</v>
      </c>
      <c r="E954" s="8" t="s">
        <v>4186</v>
      </c>
    </row>
    <row r="955" spans="1:9" x14ac:dyDescent="0.25">
      <c r="A955" s="8" t="s">
        <v>4341</v>
      </c>
      <c r="B955" s="8">
        <v>3</v>
      </c>
      <c r="C955" s="8" t="s">
        <v>4147</v>
      </c>
      <c r="D955" s="8" t="s">
        <v>4167</v>
      </c>
      <c r="E955" s="8" t="s">
        <v>4187</v>
      </c>
    </row>
    <row r="956" spans="1:9" x14ac:dyDescent="0.25">
      <c r="A956" s="8" t="s">
        <v>4341</v>
      </c>
      <c r="B956" s="8">
        <v>4</v>
      </c>
      <c r="C956" s="8" t="s">
        <v>4148</v>
      </c>
      <c r="D956" s="8" t="s">
        <v>4168</v>
      </c>
      <c r="E956" s="8" t="s">
        <v>4188</v>
      </c>
    </row>
    <row r="957" spans="1:9" x14ac:dyDescent="0.25">
      <c r="A957" s="8" t="s">
        <v>4341</v>
      </c>
      <c r="B957" s="8">
        <v>5</v>
      </c>
      <c r="C957" s="8" t="s">
        <v>4149</v>
      </c>
      <c r="D957" s="8" t="s">
        <v>4169</v>
      </c>
      <c r="E957" s="8" t="s">
        <v>4189</v>
      </c>
    </row>
    <row r="958" spans="1:9" x14ac:dyDescent="0.25">
      <c r="A958" s="8" t="s">
        <v>4341</v>
      </c>
      <c r="B958" s="8">
        <v>6</v>
      </c>
      <c r="C958" s="8" t="s">
        <v>4150</v>
      </c>
      <c r="D958" s="8" t="s">
        <v>4170</v>
      </c>
      <c r="E958" s="8" t="s">
        <v>4190</v>
      </c>
    </row>
    <row r="959" spans="1:9" x14ac:dyDescent="0.25">
      <c r="A959" s="8" t="s">
        <v>4341</v>
      </c>
      <c r="B959" s="8">
        <v>7</v>
      </c>
      <c r="C959" s="8" t="s">
        <v>4151</v>
      </c>
      <c r="D959" s="8" t="s">
        <v>4171</v>
      </c>
      <c r="E959" s="8" t="s">
        <v>4191</v>
      </c>
    </row>
    <row r="960" spans="1:9" x14ac:dyDescent="0.25">
      <c r="A960" s="8" t="s">
        <v>4341</v>
      </c>
      <c r="B960" s="8">
        <v>8</v>
      </c>
      <c r="C960" s="8" t="s">
        <v>4152</v>
      </c>
      <c r="D960" s="8" t="s">
        <v>4172</v>
      </c>
      <c r="E960" s="8" t="s">
        <v>4192</v>
      </c>
    </row>
    <row r="961" spans="1:9" x14ac:dyDescent="0.25">
      <c r="A961" s="8" t="s">
        <v>4341</v>
      </c>
      <c r="B961" s="8">
        <v>9</v>
      </c>
      <c r="C961" s="8" t="s">
        <v>4153</v>
      </c>
      <c r="D961" s="8" t="s">
        <v>4173</v>
      </c>
      <c r="E961" s="8" t="s">
        <v>4193</v>
      </c>
    </row>
    <row r="962" spans="1:9" x14ac:dyDescent="0.25">
      <c r="A962" s="8" t="s">
        <v>4341</v>
      </c>
      <c r="B962" s="8">
        <v>10</v>
      </c>
      <c r="C962" s="8" t="s">
        <v>4154</v>
      </c>
      <c r="D962" s="8" t="s">
        <v>4174</v>
      </c>
      <c r="E962" s="8" t="s">
        <v>4194</v>
      </c>
    </row>
    <row r="963" spans="1:9" x14ac:dyDescent="0.25">
      <c r="A963" s="8" t="s">
        <v>4341</v>
      </c>
      <c r="B963" s="8">
        <v>11</v>
      </c>
      <c r="C963" s="8" t="s">
        <v>4155</v>
      </c>
      <c r="D963" s="8" t="s">
        <v>4175</v>
      </c>
      <c r="E963" s="8" t="s">
        <v>4195</v>
      </c>
    </row>
    <row r="964" spans="1:9" x14ac:dyDescent="0.25">
      <c r="A964" s="8" t="s">
        <v>4341</v>
      </c>
      <c r="B964" s="8">
        <v>12</v>
      </c>
      <c r="C964" s="8" t="s">
        <v>4156</v>
      </c>
      <c r="D964" s="8" t="s">
        <v>4176</v>
      </c>
      <c r="E964" s="8" t="s">
        <v>4196</v>
      </c>
    </row>
    <row r="965" spans="1:9" x14ac:dyDescent="0.25">
      <c r="A965" s="8" t="s">
        <v>4341</v>
      </c>
      <c r="B965" s="8">
        <v>13</v>
      </c>
      <c r="C965" s="8" t="s">
        <v>4157</v>
      </c>
      <c r="D965" s="8" t="s">
        <v>4177</v>
      </c>
      <c r="E965" s="8" t="s">
        <v>4197</v>
      </c>
    </row>
    <row r="966" spans="1:9" x14ac:dyDescent="0.25">
      <c r="A966" s="8" t="s">
        <v>4341</v>
      </c>
      <c r="B966" s="8">
        <v>14</v>
      </c>
      <c r="C966" s="8" t="s">
        <v>4158</v>
      </c>
      <c r="D966" s="8" t="s">
        <v>4178</v>
      </c>
      <c r="E966" s="8" t="s">
        <v>4198</v>
      </c>
    </row>
    <row r="967" spans="1:9" x14ac:dyDescent="0.25">
      <c r="A967" s="8" t="s">
        <v>4341</v>
      </c>
      <c r="B967" s="8">
        <v>15</v>
      </c>
      <c r="C967" s="8" t="s">
        <v>4159</v>
      </c>
      <c r="D967" s="8" t="s">
        <v>4179</v>
      </c>
      <c r="E967" s="8" t="s">
        <v>4199</v>
      </c>
    </row>
    <row r="968" spans="1:9" x14ac:dyDescent="0.25">
      <c r="A968" s="8" t="s">
        <v>4341</v>
      </c>
      <c r="B968" s="8">
        <v>16</v>
      </c>
      <c r="C968" s="8" t="s">
        <v>4160</v>
      </c>
      <c r="D968" s="8" t="s">
        <v>4180</v>
      </c>
      <c r="E968" s="8" t="s">
        <v>4200</v>
      </c>
    </row>
    <row r="969" spans="1:9" x14ac:dyDescent="0.25">
      <c r="A969" s="8" t="s">
        <v>4341</v>
      </c>
      <c r="B969" s="8">
        <v>17</v>
      </c>
      <c r="C969" s="8" t="s">
        <v>4161</v>
      </c>
      <c r="D969" s="8" t="s">
        <v>4181</v>
      </c>
      <c r="E969" s="8" t="s">
        <v>4201</v>
      </c>
    </row>
    <row r="970" spans="1:9" x14ac:dyDescent="0.25">
      <c r="A970" s="8" t="s">
        <v>4341</v>
      </c>
      <c r="B970" s="8">
        <v>18</v>
      </c>
      <c r="C970" s="8" t="s">
        <v>4162</v>
      </c>
      <c r="D970" s="8" t="s">
        <v>4182</v>
      </c>
      <c r="E970" s="8" t="s">
        <v>4202</v>
      </c>
    </row>
    <row r="971" spans="1:9" x14ac:dyDescent="0.25">
      <c r="A971" s="8" t="s">
        <v>4341</v>
      </c>
      <c r="B971" s="8">
        <v>19</v>
      </c>
      <c r="C971" s="8" t="s">
        <v>4163</v>
      </c>
      <c r="D971" s="8" t="s">
        <v>4183</v>
      </c>
      <c r="E971" s="8" t="s">
        <v>4203</v>
      </c>
    </row>
    <row r="972" spans="1:9" x14ac:dyDescent="0.25">
      <c r="A972" s="8" t="s">
        <v>4341</v>
      </c>
      <c r="B972" s="8">
        <v>20</v>
      </c>
      <c r="C972" s="8" t="s">
        <v>4164</v>
      </c>
      <c r="D972" s="8" t="s">
        <v>4184</v>
      </c>
      <c r="E972" s="8" t="s">
        <v>4204</v>
      </c>
    </row>
    <row r="973" spans="1:9" x14ac:dyDescent="0.25">
      <c r="A973" s="8" t="s">
        <v>4341</v>
      </c>
      <c r="B973" s="8">
        <v>21</v>
      </c>
      <c r="C973" s="8" t="s">
        <v>4115</v>
      </c>
      <c r="D973" s="8" t="s">
        <v>4114</v>
      </c>
      <c r="E973" s="8" t="s">
        <v>4113</v>
      </c>
    </row>
    <row r="974" spans="1:9" x14ac:dyDescent="0.25">
      <c r="A974" s="8" t="s">
        <v>4341</v>
      </c>
      <c r="B974" s="8">
        <v>98</v>
      </c>
      <c r="C974" s="8" t="s">
        <v>4357</v>
      </c>
      <c r="D974" s="8" t="s">
        <v>84</v>
      </c>
      <c r="E974" s="8" t="s">
        <v>1021</v>
      </c>
    </row>
    <row r="975" spans="1:9" ht="12" customHeight="1" x14ac:dyDescent="0.25">
      <c r="A975" s="10"/>
      <c r="B975" s="10"/>
      <c r="C975" s="10"/>
      <c r="D975" s="10"/>
      <c r="E975" s="10"/>
      <c r="F975" s="10"/>
      <c r="G975" s="10"/>
      <c r="H975" s="10"/>
      <c r="I975" s="10"/>
    </row>
    <row r="976" spans="1:9" x14ac:dyDescent="0.25">
      <c r="A976" s="8" t="s">
        <v>4206</v>
      </c>
      <c r="B976" s="8">
        <v>1</v>
      </c>
      <c r="C976" s="8" t="s">
        <v>4207</v>
      </c>
      <c r="D976" s="8" t="s">
        <v>4222</v>
      </c>
      <c r="E976" s="8" t="s">
        <v>4244</v>
      </c>
    </row>
    <row r="977" spans="1:5" x14ac:dyDescent="0.25">
      <c r="A977" s="8" t="s">
        <v>4206</v>
      </c>
      <c r="B977" s="8">
        <v>2</v>
      </c>
      <c r="C977" s="8" t="s">
        <v>4208</v>
      </c>
      <c r="D977" s="8" t="s">
        <v>4223</v>
      </c>
      <c r="E977" s="8" t="s">
        <v>4245</v>
      </c>
    </row>
    <row r="978" spans="1:5" x14ac:dyDescent="0.25">
      <c r="A978" s="8" t="s">
        <v>4206</v>
      </c>
      <c r="B978" s="8">
        <v>3</v>
      </c>
      <c r="C978" s="8" t="s">
        <v>4209</v>
      </c>
      <c r="D978" s="8" t="s">
        <v>4224</v>
      </c>
      <c r="E978" s="8" t="s">
        <v>4237</v>
      </c>
    </row>
    <row r="979" spans="1:5" x14ac:dyDescent="0.25">
      <c r="A979" s="8" t="s">
        <v>4206</v>
      </c>
      <c r="B979" s="8">
        <v>4</v>
      </c>
      <c r="C979" s="8" t="s">
        <v>4210</v>
      </c>
      <c r="D979" s="8" t="s">
        <v>4225</v>
      </c>
      <c r="E979" s="8" t="s">
        <v>4246</v>
      </c>
    </row>
    <row r="980" spans="1:5" x14ac:dyDescent="0.25">
      <c r="A980" s="8" t="s">
        <v>4206</v>
      </c>
      <c r="B980" s="8">
        <v>5</v>
      </c>
      <c r="C980" s="8" t="s">
        <v>4211</v>
      </c>
      <c r="D980" s="8" t="s">
        <v>4226</v>
      </c>
      <c r="E980" s="8" t="s">
        <v>4247</v>
      </c>
    </row>
    <row r="981" spans="1:5" x14ac:dyDescent="0.25">
      <c r="A981" s="8" t="s">
        <v>4206</v>
      </c>
      <c r="B981" s="8">
        <v>6</v>
      </c>
      <c r="C981" s="8" t="s">
        <v>4212</v>
      </c>
      <c r="D981" s="8" t="s">
        <v>4227</v>
      </c>
      <c r="E981" s="8" t="s">
        <v>4238</v>
      </c>
    </row>
    <row r="982" spans="1:5" x14ac:dyDescent="0.25">
      <c r="A982" s="8" t="s">
        <v>4206</v>
      </c>
      <c r="B982" s="8">
        <v>7</v>
      </c>
      <c r="C982" s="8" t="s">
        <v>4213</v>
      </c>
      <c r="D982" s="8" t="s">
        <v>4228</v>
      </c>
      <c r="E982" s="8" t="s">
        <v>4248</v>
      </c>
    </row>
    <row r="983" spans="1:5" x14ac:dyDescent="0.25">
      <c r="A983" s="8" t="s">
        <v>4206</v>
      </c>
      <c r="B983" s="8">
        <v>8</v>
      </c>
      <c r="C983" s="8" t="s">
        <v>4214</v>
      </c>
      <c r="D983" s="8" t="s">
        <v>4229</v>
      </c>
      <c r="E983" s="8" t="s">
        <v>4239</v>
      </c>
    </row>
    <row r="984" spans="1:5" x14ac:dyDescent="0.25">
      <c r="A984" s="8" t="s">
        <v>4206</v>
      </c>
      <c r="B984" s="8">
        <v>9</v>
      </c>
      <c r="C984" s="8" t="s">
        <v>4215</v>
      </c>
      <c r="D984" s="8" t="s">
        <v>4230</v>
      </c>
      <c r="E984" s="8" t="s">
        <v>4240</v>
      </c>
    </row>
    <row r="985" spans="1:5" x14ac:dyDescent="0.25">
      <c r="A985" s="8" t="s">
        <v>4206</v>
      </c>
      <c r="B985" s="8">
        <v>10</v>
      </c>
      <c r="C985" s="8" t="s">
        <v>4216</v>
      </c>
      <c r="D985" s="8" t="s">
        <v>4231</v>
      </c>
      <c r="E985" s="8" t="s">
        <v>4249</v>
      </c>
    </row>
    <row r="986" spans="1:5" x14ac:dyDescent="0.25">
      <c r="A986" s="8" t="s">
        <v>4206</v>
      </c>
      <c r="B986" s="8">
        <v>11</v>
      </c>
      <c r="C986" s="8" t="s">
        <v>4217</v>
      </c>
      <c r="D986" s="8" t="s">
        <v>4232</v>
      </c>
      <c r="E986" s="8" t="s">
        <v>4241</v>
      </c>
    </row>
    <row r="987" spans="1:5" x14ac:dyDescent="0.25">
      <c r="A987" s="8" t="s">
        <v>4206</v>
      </c>
      <c r="B987" s="8">
        <v>12</v>
      </c>
      <c r="C987" s="8" t="s">
        <v>4218</v>
      </c>
      <c r="D987" s="8" t="s">
        <v>4233</v>
      </c>
      <c r="E987" s="8" t="s">
        <v>4242</v>
      </c>
    </row>
    <row r="988" spans="1:5" x14ac:dyDescent="0.25">
      <c r="A988" s="8" t="s">
        <v>4206</v>
      </c>
      <c r="B988" s="8">
        <v>13</v>
      </c>
      <c r="C988" s="8" t="s">
        <v>4219</v>
      </c>
      <c r="D988" s="8" t="s">
        <v>4234</v>
      </c>
      <c r="E988" s="8" t="s">
        <v>4243</v>
      </c>
    </row>
    <row r="989" spans="1:5" x14ac:dyDescent="0.25">
      <c r="A989" s="8" t="s">
        <v>4206</v>
      </c>
      <c r="B989" s="8">
        <v>14</v>
      </c>
      <c r="C989" s="8" t="s">
        <v>4220</v>
      </c>
      <c r="D989" s="8" t="s">
        <v>4235</v>
      </c>
      <c r="E989" s="8" t="s">
        <v>4250</v>
      </c>
    </row>
    <row r="990" spans="1:5" x14ac:dyDescent="0.25">
      <c r="A990" s="8" t="s">
        <v>4206</v>
      </c>
      <c r="B990" s="8">
        <v>15</v>
      </c>
      <c r="C990" s="8" t="s">
        <v>4221</v>
      </c>
      <c r="D990" s="8" t="s">
        <v>4236</v>
      </c>
      <c r="E990" s="8" t="s">
        <v>4251</v>
      </c>
    </row>
    <row r="991" spans="1:5" x14ac:dyDescent="0.25">
      <c r="A991" s="8" t="s">
        <v>4206</v>
      </c>
      <c r="B991" s="8">
        <v>16</v>
      </c>
      <c r="C991" s="8" t="s">
        <v>4112</v>
      </c>
      <c r="D991" s="8" t="s">
        <v>4111</v>
      </c>
      <c r="E991" s="8" t="s">
        <v>4110</v>
      </c>
    </row>
    <row r="992" spans="1:5" x14ac:dyDescent="0.25">
      <c r="A992" s="8" t="s">
        <v>4206</v>
      </c>
      <c r="B992" s="8">
        <v>98</v>
      </c>
      <c r="C992" s="8" t="s">
        <v>4357</v>
      </c>
      <c r="D992" s="8" t="s">
        <v>84</v>
      </c>
      <c r="E992" s="8" t="s">
        <v>1021</v>
      </c>
    </row>
    <row r="993" spans="1:9" ht="12" customHeight="1" x14ac:dyDescent="0.25">
      <c r="A993" s="10"/>
      <c r="B993" s="10"/>
      <c r="C993" s="10"/>
      <c r="D993" s="10"/>
      <c r="E993" s="10"/>
      <c r="F993" s="10"/>
      <c r="G993" s="10"/>
      <c r="H993" s="10"/>
      <c r="I993" s="10"/>
    </row>
    <row r="994" spans="1:9" x14ac:dyDescent="0.25">
      <c r="A994" s="8" t="s">
        <v>4253</v>
      </c>
      <c r="B994" s="8">
        <v>1</v>
      </c>
      <c r="C994" s="8" t="s">
        <v>4254</v>
      </c>
      <c r="D994" s="8" t="s">
        <v>4257</v>
      </c>
      <c r="E994" s="8" t="s">
        <v>4260</v>
      </c>
    </row>
    <row r="995" spans="1:9" x14ac:dyDescent="0.25">
      <c r="A995" s="8" t="s">
        <v>4253</v>
      </c>
      <c r="B995" s="8">
        <v>2</v>
      </c>
      <c r="C995" s="8" t="s">
        <v>4255</v>
      </c>
      <c r="D995" s="8" t="s">
        <v>4258</v>
      </c>
      <c r="E995" s="8" t="s">
        <v>4261</v>
      </c>
    </row>
    <row r="996" spans="1:9" x14ac:dyDescent="0.25">
      <c r="A996" s="8" t="s">
        <v>4253</v>
      </c>
      <c r="B996" s="8">
        <v>3</v>
      </c>
      <c r="C996" s="8" t="s">
        <v>4256</v>
      </c>
      <c r="D996" s="8" t="s">
        <v>4259</v>
      </c>
      <c r="E996" s="8" t="s">
        <v>4262</v>
      </c>
    </row>
    <row r="997" spans="1:9" x14ac:dyDescent="0.25">
      <c r="A997" s="8" t="s">
        <v>4253</v>
      </c>
      <c r="B997" s="8">
        <v>4</v>
      </c>
      <c r="C997" s="8" t="s">
        <v>913</v>
      </c>
      <c r="D997" s="8" t="s">
        <v>952</v>
      </c>
      <c r="E997" s="8" t="s">
        <v>1816</v>
      </c>
    </row>
    <row r="998" spans="1:9" ht="12" customHeight="1" x14ac:dyDescent="0.25">
      <c r="A998" s="10"/>
      <c r="B998" s="10"/>
      <c r="C998" s="10"/>
      <c r="D998" s="10"/>
      <c r="E998" s="10"/>
      <c r="F998" s="10"/>
      <c r="G998" s="10"/>
      <c r="H998" s="10"/>
      <c r="I998" s="10"/>
    </row>
    <row r="999" spans="1:9" x14ac:dyDescent="0.25">
      <c r="A999" s="8" t="s">
        <v>4264</v>
      </c>
      <c r="B999" s="8">
        <v>1</v>
      </c>
      <c r="C999" s="8" t="s">
        <v>4265</v>
      </c>
      <c r="D999" s="8" t="s">
        <v>4273</v>
      </c>
      <c r="E999" s="8" t="s">
        <v>4282</v>
      </c>
    </row>
    <row r="1000" spans="1:9" x14ac:dyDescent="0.25">
      <c r="A1000" s="8" t="s">
        <v>4264</v>
      </c>
      <c r="B1000" s="8">
        <v>2</v>
      </c>
      <c r="C1000" s="8" t="s">
        <v>4266</v>
      </c>
      <c r="D1000" s="8" t="s">
        <v>4274</v>
      </c>
      <c r="E1000" s="8" t="s">
        <v>4283</v>
      </c>
    </row>
    <row r="1001" spans="1:9" x14ac:dyDescent="0.25">
      <c r="A1001" s="8" t="s">
        <v>4264</v>
      </c>
      <c r="B1001" s="8">
        <v>3</v>
      </c>
      <c r="C1001" s="8" t="s">
        <v>4267</v>
      </c>
      <c r="D1001" s="8" t="s">
        <v>4275</v>
      </c>
      <c r="E1001" s="8" t="s">
        <v>4284</v>
      </c>
    </row>
    <row r="1002" spans="1:9" x14ac:dyDescent="0.25">
      <c r="A1002" s="8" t="s">
        <v>4264</v>
      </c>
      <c r="B1002" s="8">
        <v>4</v>
      </c>
      <c r="C1002" s="8" t="s">
        <v>4268</v>
      </c>
      <c r="D1002" s="8" t="s">
        <v>4276</v>
      </c>
      <c r="E1002" s="8" t="s">
        <v>4285</v>
      </c>
    </row>
    <row r="1003" spans="1:9" x14ac:dyDescent="0.25">
      <c r="A1003" s="8" t="s">
        <v>4264</v>
      </c>
      <c r="B1003" s="8">
        <v>5</v>
      </c>
      <c r="C1003" s="8" t="s">
        <v>4269</v>
      </c>
      <c r="D1003" s="8" t="s">
        <v>4277</v>
      </c>
      <c r="E1003" s="8" t="s">
        <v>4286</v>
      </c>
    </row>
    <row r="1004" spans="1:9" x14ac:dyDescent="0.25">
      <c r="A1004" s="8" t="s">
        <v>4264</v>
      </c>
      <c r="B1004" s="8">
        <v>6</v>
      </c>
      <c r="C1004" s="8" t="s">
        <v>4270</v>
      </c>
      <c r="D1004" s="8" t="s">
        <v>4278</v>
      </c>
      <c r="E1004" s="8" t="s">
        <v>4287</v>
      </c>
    </row>
    <row r="1005" spans="1:9" x14ac:dyDescent="0.25">
      <c r="A1005" s="8" t="s">
        <v>4264</v>
      </c>
      <c r="B1005" s="8">
        <v>7</v>
      </c>
      <c r="C1005" s="8" t="s">
        <v>4271</v>
      </c>
      <c r="D1005" s="8" t="s">
        <v>4279</v>
      </c>
      <c r="E1005" s="8" t="s">
        <v>4288</v>
      </c>
    </row>
    <row r="1006" spans="1:9" x14ac:dyDescent="0.25">
      <c r="A1006" s="8" t="s">
        <v>4264</v>
      </c>
      <c r="B1006" s="8">
        <v>8</v>
      </c>
      <c r="C1006" s="8" t="s">
        <v>4272</v>
      </c>
      <c r="D1006" s="8" t="s">
        <v>4280</v>
      </c>
      <c r="E1006" s="8" t="s">
        <v>4289</v>
      </c>
    </row>
    <row r="1007" spans="1:9" x14ac:dyDescent="0.25">
      <c r="A1007" s="8" t="s">
        <v>4264</v>
      </c>
      <c r="B1007" s="8">
        <v>9</v>
      </c>
      <c r="C1007" s="8" t="s">
        <v>913</v>
      </c>
      <c r="D1007" s="8" t="s">
        <v>4281</v>
      </c>
      <c r="E1007" s="8" t="s">
        <v>1816</v>
      </c>
    </row>
    <row r="1008" spans="1:9" ht="12" customHeight="1" x14ac:dyDescent="0.25">
      <c r="A1008" s="10"/>
      <c r="B1008" s="10"/>
      <c r="C1008" s="10"/>
      <c r="D1008" s="10"/>
      <c r="E1008" s="10"/>
      <c r="F1008" s="10"/>
      <c r="G1008" s="10"/>
      <c r="H1008" s="10"/>
      <c r="I1008" s="10"/>
    </row>
    <row r="1009" spans="1:9" x14ac:dyDescent="0.25">
      <c r="A1009" s="8" t="s">
        <v>4291</v>
      </c>
      <c r="B1009" s="8">
        <v>1</v>
      </c>
      <c r="C1009" s="8" t="s">
        <v>4292</v>
      </c>
      <c r="D1009" s="8" t="s">
        <v>4295</v>
      </c>
      <c r="E1009" s="8" t="s">
        <v>4298</v>
      </c>
    </row>
    <row r="1010" spans="1:9" x14ac:dyDescent="0.25">
      <c r="A1010" s="8" t="s">
        <v>4291</v>
      </c>
      <c r="B1010" s="8">
        <v>2</v>
      </c>
      <c r="C1010" s="8" t="s">
        <v>4293</v>
      </c>
      <c r="D1010" s="8" t="s">
        <v>4296</v>
      </c>
      <c r="E1010" s="8" t="s">
        <v>4299</v>
      </c>
    </row>
    <row r="1011" spans="1:9" x14ac:dyDescent="0.25">
      <c r="A1011" s="8" t="s">
        <v>4291</v>
      </c>
      <c r="B1011" s="8">
        <v>3</v>
      </c>
      <c r="C1011" s="8" t="s">
        <v>4294</v>
      </c>
      <c r="D1011" s="8" t="s">
        <v>4297</v>
      </c>
      <c r="E1011" s="8" t="s">
        <v>4300</v>
      </c>
    </row>
    <row r="1012" spans="1:9" x14ac:dyDescent="0.25">
      <c r="A1012" s="8" t="s">
        <v>4291</v>
      </c>
      <c r="B1012" s="8">
        <v>4</v>
      </c>
      <c r="C1012" s="8" t="s">
        <v>913</v>
      </c>
      <c r="D1012" s="8" t="s">
        <v>952</v>
      </c>
      <c r="E1012" s="8" t="s">
        <v>1816</v>
      </c>
    </row>
    <row r="1013" spans="1:9" ht="12" customHeight="1" x14ac:dyDescent="0.25">
      <c r="A1013" s="10"/>
      <c r="B1013" s="10"/>
      <c r="C1013" s="10"/>
      <c r="D1013" s="10"/>
      <c r="E1013" s="10"/>
      <c r="F1013" s="10"/>
      <c r="G1013" s="10"/>
      <c r="H1013" s="10"/>
      <c r="I1013" s="10"/>
    </row>
    <row r="1014" spans="1:9" x14ac:dyDescent="0.25">
      <c r="A1014" s="8" t="s">
        <v>4302</v>
      </c>
      <c r="B1014" s="8">
        <v>1</v>
      </c>
      <c r="C1014" s="8" t="s">
        <v>4303</v>
      </c>
      <c r="D1014" s="8" t="s">
        <v>4312</v>
      </c>
      <c r="E1014" s="8" t="s">
        <v>4321</v>
      </c>
    </row>
    <row r="1015" spans="1:9" x14ac:dyDescent="0.25">
      <c r="A1015" s="8" t="s">
        <v>4302</v>
      </c>
      <c r="B1015" s="8">
        <v>2</v>
      </c>
      <c r="C1015" s="8" t="s">
        <v>4304</v>
      </c>
      <c r="D1015" s="8" t="s">
        <v>4313</v>
      </c>
      <c r="E1015" s="8" t="s">
        <v>4322</v>
      </c>
    </row>
    <row r="1016" spans="1:9" x14ac:dyDescent="0.25">
      <c r="A1016" s="8" t="s">
        <v>4302</v>
      </c>
      <c r="B1016" s="8">
        <v>3</v>
      </c>
      <c r="C1016" s="8" t="s">
        <v>4305</v>
      </c>
      <c r="D1016" s="8" t="s">
        <v>4314</v>
      </c>
      <c r="E1016" s="8" t="s">
        <v>4323</v>
      </c>
    </row>
    <row r="1017" spans="1:9" x14ac:dyDescent="0.25">
      <c r="A1017" s="8" t="s">
        <v>4302</v>
      </c>
      <c r="B1017" s="8">
        <v>4</v>
      </c>
      <c r="C1017" s="8" t="s">
        <v>4306</v>
      </c>
      <c r="D1017" s="8" t="s">
        <v>4315</v>
      </c>
      <c r="E1017" s="8" t="s">
        <v>4324</v>
      </c>
    </row>
    <row r="1018" spans="1:9" x14ac:dyDescent="0.25">
      <c r="A1018" s="8" t="s">
        <v>4302</v>
      </c>
      <c r="B1018" s="8">
        <v>5</v>
      </c>
      <c r="C1018" s="8" t="s">
        <v>4307</v>
      </c>
      <c r="D1018" s="8" t="s">
        <v>4316</v>
      </c>
      <c r="E1018" s="8" t="s">
        <v>4325</v>
      </c>
    </row>
    <row r="1019" spans="1:9" x14ac:dyDescent="0.25">
      <c r="A1019" s="8" t="s">
        <v>4302</v>
      </c>
      <c r="B1019" s="8">
        <v>6</v>
      </c>
      <c r="C1019" s="8" t="s">
        <v>4308</v>
      </c>
      <c r="D1019" s="8" t="s">
        <v>4317</v>
      </c>
      <c r="E1019" s="8" t="s">
        <v>4326</v>
      </c>
    </row>
    <row r="1020" spans="1:9" x14ac:dyDescent="0.25">
      <c r="A1020" s="8" t="s">
        <v>4302</v>
      </c>
      <c r="B1020" s="8">
        <v>7</v>
      </c>
      <c r="C1020" s="8" t="s">
        <v>4309</v>
      </c>
      <c r="D1020" s="8" t="s">
        <v>4318</v>
      </c>
      <c r="E1020" s="8" t="s">
        <v>4327</v>
      </c>
    </row>
    <row r="1021" spans="1:9" x14ac:dyDescent="0.25">
      <c r="A1021" s="8" t="s">
        <v>4302</v>
      </c>
      <c r="B1021" s="8">
        <v>8</v>
      </c>
      <c r="C1021" s="8" t="s">
        <v>4310</v>
      </c>
      <c r="D1021" s="8" t="s">
        <v>4319</v>
      </c>
      <c r="E1021" s="8" t="s">
        <v>4328</v>
      </c>
    </row>
    <row r="1022" spans="1:9" x14ac:dyDescent="0.25">
      <c r="A1022" s="8" t="s">
        <v>4302</v>
      </c>
      <c r="B1022" s="8">
        <v>9</v>
      </c>
      <c r="C1022" s="8" t="s">
        <v>4311</v>
      </c>
      <c r="D1022" s="8" t="s">
        <v>4320</v>
      </c>
      <c r="E1022" s="8" t="s">
        <v>4329</v>
      </c>
    </row>
    <row r="1023" spans="1:9" x14ac:dyDescent="0.25">
      <c r="A1023" s="8" t="s">
        <v>4302</v>
      </c>
      <c r="B1023" s="8">
        <v>10</v>
      </c>
      <c r="C1023" s="8" t="s">
        <v>913</v>
      </c>
      <c r="D1023" s="8" t="s">
        <v>952</v>
      </c>
      <c r="E1023" s="8" t="s">
        <v>1816</v>
      </c>
    </row>
    <row r="1024" spans="1:9" ht="12" customHeight="1" x14ac:dyDescent="0.25">
      <c r="A1024" s="10"/>
      <c r="B1024" s="10"/>
      <c r="C1024" s="10"/>
      <c r="D1024" s="10"/>
      <c r="E1024" s="10"/>
      <c r="F1024" s="10"/>
      <c r="G1024" s="10"/>
      <c r="H1024" s="10"/>
      <c r="I1024" s="10"/>
    </row>
    <row r="1025" spans="1:7" x14ac:dyDescent="0.25">
      <c r="A1025" s="8" t="s">
        <v>4366</v>
      </c>
      <c r="B1025" s="7">
        <v>1</v>
      </c>
      <c r="C1025" s="8" t="s">
        <v>275</v>
      </c>
      <c r="D1025" s="8" t="s">
        <v>275</v>
      </c>
      <c r="E1025" s="8" t="s">
        <v>275</v>
      </c>
      <c r="F1025" s="7"/>
      <c r="G1025" s="7">
        <v>1</v>
      </c>
    </row>
    <row r="1026" spans="1:7" x14ac:dyDescent="0.25">
      <c r="A1026" s="8" t="s">
        <v>4366</v>
      </c>
      <c r="B1026" s="7">
        <v>2</v>
      </c>
      <c r="C1026" s="8" t="s">
        <v>276</v>
      </c>
      <c r="D1026" s="8" t="s">
        <v>276</v>
      </c>
      <c r="E1026" s="8" t="s">
        <v>276</v>
      </c>
      <c r="F1026" s="7"/>
      <c r="G1026" s="7">
        <v>2</v>
      </c>
    </row>
    <row r="1027" spans="1:7" x14ac:dyDescent="0.25">
      <c r="A1027" s="8" t="s">
        <v>4366</v>
      </c>
      <c r="B1027" s="7">
        <v>3</v>
      </c>
      <c r="C1027" s="8" t="s">
        <v>277</v>
      </c>
      <c r="D1027" s="8" t="s">
        <v>277</v>
      </c>
      <c r="E1027" s="8" t="s">
        <v>277</v>
      </c>
      <c r="F1027" s="7"/>
      <c r="G1027" s="7">
        <v>3</v>
      </c>
    </row>
    <row r="1028" spans="1:7" x14ac:dyDescent="0.25">
      <c r="A1028" s="8" t="s">
        <v>4366</v>
      </c>
      <c r="B1028" s="7">
        <v>4</v>
      </c>
      <c r="C1028" s="8" t="s">
        <v>278</v>
      </c>
      <c r="D1028" s="8" t="s">
        <v>278</v>
      </c>
      <c r="E1028" s="8" t="s">
        <v>278</v>
      </c>
      <c r="F1028" s="7"/>
      <c r="G1028" s="7">
        <v>4</v>
      </c>
    </row>
    <row r="1029" spans="1:7" x14ac:dyDescent="0.25">
      <c r="A1029" s="8" t="s">
        <v>4366</v>
      </c>
      <c r="B1029" s="7">
        <v>5</v>
      </c>
      <c r="C1029" s="8" t="s">
        <v>279</v>
      </c>
      <c r="D1029" s="8" t="s">
        <v>279</v>
      </c>
      <c r="E1029" s="8" t="s">
        <v>279</v>
      </c>
      <c r="F1029" s="7"/>
      <c r="G1029" s="7">
        <v>5</v>
      </c>
    </row>
    <row r="1030" spans="1:7" x14ac:dyDescent="0.25">
      <c r="A1030" s="8" t="s">
        <v>4366</v>
      </c>
      <c r="B1030" s="7">
        <v>6</v>
      </c>
      <c r="C1030" s="8" t="s">
        <v>280</v>
      </c>
      <c r="D1030" s="8" t="s">
        <v>280</v>
      </c>
      <c r="E1030" s="8" t="s">
        <v>280</v>
      </c>
      <c r="F1030" s="7"/>
      <c r="G1030" s="7">
        <v>6</v>
      </c>
    </row>
    <row r="1031" spans="1:7" x14ac:dyDescent="0.25">
      <c r="A1031" s="8" t="s">
        <v>4366</v>
      </c>
      <c r="B1031" s="7">
        <v>7</v>
      </c>
      <c r="C1031" s="8" t="s">
        <v>281</v>
      </c>
      <c r="D1031" s="8" t="s">
        <v>281</v>
      </c>
      <c r="E1031" s="8" t="s">
        <v>281</v>
      </c>
      <c r="F1031" s="7"/>
      <c r="G1031" s="7">
        <v>7</v>
      </c>
    </row>
    <row r="1032" spans="1:7" x14ac:dyDescent="0.25">
      <c r="A1032" s="8" t="s">
        <v>4366</v>
      </c>
      <c r="B1032" s="7">
        <v>8</v>
      </c>
      <c r="C1032" s="8" t="s">
        <v>282</v>
      </c>
      <c r="D1032" s="8" t="s">
        <v>282</v>
      </c>
      <c r="E1032" s="8" t="s">
        <v>282</v>
      </c>
      <c r="F1032" s="7"/>
      <c r="G1032" s="7">
        <v>8</v>
      </c>
    </row>
    <row r="1033" spans="1:7" x14ac:dyDescent="0.25">
      <c r="A1033" s="8" t="s">
        <v>4366</v>
      </c>
      <c r="B1033" s="7">
        <v>9</v>
      </c>
      <c r="C1033" s="8" t="s">
        <v>283</v>
      </c>
      <c r="D1033" s="8" t="s">
        <v>283</v>
      </c>
      <c r="E1033" s="8" t="s">
        <v>283</v>
      </c>
      <c r="F1033" s="7"/>
      <c r="G1033" s="7">
        <v>9</v>
      </c>
    </row>
    <row r="1034" spans="1:7" x14ac:dyDescent="0.25">
      <c r="A1034" s="8" t="s">
        <v>4366</v>
      </c>
      <c r="B1034" s="7">
        <v>10</v>
      </c>
      <c r="C1034" s="8" t="s">
        <v>284</v>
      </c>
      <c r="D1034" s="8" t="s">
        <v>284</v>
      </c>
      <c r="E1034" s="8" t="s">
        <v>284</v>
      </c>
      <c r="F1034" s="7"/>
      <c r="G1034" s="7">
        <v>10</v>
      </c>
    </row>
    <row r="1035" spans="1:7" x14ac:dyDescent="0.25">
      <c r="A1035" s="8" t="s">
        <v>4366</v>
      </c>
      <c r="B1035" s="7">
        <v>11</v>
      </c>
      <c r="C1035" s="8" t="s">
        <v>290</v>
      </c>
      <c r="D1035" s="8" t="s">
        <v>290</v>
      </c>
      <c r="E1035" s="8" t="s">
        <v>290</v>
      </c>
      <c r="F1035" s="7"/>
      <c r="G1035" s="7">
        <v>11</v>
      </c>
    </row>
    <row r="1036" spans="1:7" x14ac:dyDescent="0.25">
      <c r="A1036" s="8" t="s">
        <v>4366</v>
      </c>
      <c r="B1036" s="7">
        <v>12</v>
      </c>
      <c r="C1036" s="8" t="s">
        <v>291</v>
      </c>
      <c r="D1036" s="8" t="s">
        <v>291</v>
      </c>
      <c r="E1036" s="8" t="s">
        <v>291</v>
      </c>
      <c r="F1036" s="7"/>
      <c r="G1036" s="7">
        <v>12</v>
      </c>
    </row>
    <row r="1037" spans="1:7" x14ac:dyDescent="0.25">
      <c r="A1037" s="8" t="s">
        <v>4366</v>
      </c>
      <c r="B1037" s="7">
        <v>13</v>
      </c>
      <c r="C1037" s="8" t="s">
        <v>292</v>
      </c>
      <c r="D1037" s="8" t="s">
        <v>292</v>
      </c>
      <c r="E1037" s="8" t="s">
        <v>292</v>
      </c>
      <c r="F1037" s="7"/>
      <c r="G1037" s="7">
        <v>13</v>
      </c>
    </row>
    <row r="1038" spans="1:7" x14ac:dyDescent="0.25">
      <c r="A1038" s="8" t="s">
        <v>4366</v>
      </c>
      <c r="B1038" s="7">
        <v>14</v>
      </c>
      <c r="C1038" s="8" t="s">
        <v>293</v>
      </c>
      <c r="D1038" s="8" t="s">
        <v>293</v>
      </c>
      <c r="E1038" s="8" t="s">
        <v>293</v>
      </c>
      <c r="F1038" s="7"/>
      <c r="G1038" s="7">
        <v>14</v>
      </c>
    </row>
    <row r="1039" spans="1:7" x14ac:dyDescent="0.25">
      <c r="A1039" s="8" t="s">
        <v>4366</v>
      </c>
      <c r="B1039" s="7">
        <v>15</v>
      </c>
      <c r="C1039" s="8" t="s">
        <v>294</v>
      </c>
      <c r="D1039" s="8" t="s">
        <v>294</v>
      </c>
      <c r="E1039" s="8" t="s">
        <v>294</v>
      </c>
      <c r="F1039" s="7"/>
      <c r="G1039" s="7">
        <v>15</v>
      </c>
    </row>
    <row r="1040" spans="1:7" x14ac:dyDescent="0.25">
      <c r="A1040" s="8" t="s">
        <v>4366</v>
      </c>
      <c r="B1040" s="7">
        <v>16</v>
      </c>
      <c r="C1040" s="8" t="s">
        <v>477</v>
      </c>
      <c r="D1040" s="8" t="s">
        <v>477</v>
      </c>
      <c r="E1040" s="8" t="s">
        <v>477</v>
      </c>
      <c r="F1040" s="7"/>
      <c r="G1040" s="7">
        <v>16</v>
      </c>
    </row>
    <row r="1041" spans="1:9" x14ac:dyDescent="0.25">
      <c r="A1041" s="8" t="s">
        <v>4366</v>
      </c>
      <c r="B1041" s="7">
        <v>17</v>
      </c>
      <c r="C1041" s="8" t="s">
        <v>483</v>
      </c>
      <c r="D1041" s="8" t="s">
        <v>483</v>
      </c>
      <c r="E1041" s="8" t="s">
        <v>483</v>
      </c>
      <c r="F1041" s="7"/>
      <c r="G1041" s="7">
        <v>17</v>
      </c>
    </row>
    <row r="1042" spans="1:9" x14ac:dyDescent="0.25">
      <c r="A1042" s="8" t="s">
        <v>4366</v>
      </c>
      <c r="B1042" s="7">
        <v>18</v>
      </c>
      <c r="C1042" s="8" t="s">
        <v>484</v>
      </c>
      <c r="D1042" s="8" t="s">
        <v>484</v>
      </c>
      <c r="E1042" s="8" t="s">
        <v>484</v>
      </c>
      <c r="F1042" s="7"/>
      <c r="G1042" s="7">
        <v>18</v>
      </c>
    </row>
    <row r="1043" spans="1:9" x14ac:dyDescent="0.25">
      <c r="A1043" s="8" t="s">
        <v>4366</v>
      </c>
      <c r="B1043" s="7">
        <v>19</v>
      </c>
      <c r="C1043" s="8" t="s">
        <v>485</v>
      </c>
      <c r="D1043" s="8" t="s">
        <v>485</v>
      </c>
      <c r="E1043" s="8" t="s">
        <v>485</v>
      </c>
      <c r="F1043" s="7"/>
      <c r="G1043" s="7">
        <v>19</v>
      </c>
    </row>
    <row r="1044" spans="1:9" x14ac:dyDescent="0.25">
      <c r="A1044" s="8" t="s">
        <v>4366</v>
      </c>
      <c r="B1044" s="8" t="s">
        <v>4379</v>
      </c>
      <c r="C1044" s="8" t="s">
        <v>4367</v>
      </c>
      <c r="D1044" s="8" t="s">
        <v>486</v>
      </c>
      <c r="E1044" s="8" t="s">
        <v>486</v>
      </c>
      <c r="F1044" s="7"/>
      <c r="G1044" s="8" t="s">
        <v>4379</v>
      </c>
    </row>
    <row r="1045" spans="1:9" x14ac:dyDescent="0.25">
      <c r="A1045" s="8" t="s">
        <v>4366</v>
      </c>
      <c r="B1045" s="8" t="s">
        <v>4380</v>
      </c>
      <c r="C1045" s="8" t="s">
        <v>4368</v>
      </c>
      <c r="D1045" s="8" t="s">
        <v>4367</v>
      </c>
      <c r="E1045" s="8" t="s">
        <v>4367</v>
      </c>
      <c r="F1045" s="7"/>
      <c r="G1045" s="8" t="s">
        <v>4380</v>
      </c>
    </row>
    <row r="1046" spans="1:9" x14ac:dyDescent="0.25">
      <c r="A1046" s="8" t="s">
        <v>4366</v>
      </c>
      <c r="B1046" s="8" t="s">
        <v>4381</v>
      </c>
      <c r="C1046" s="8" t="s">
        <v>4369</v>
      </c>
      <c r="D1046" s="8" t="s">
        <v>4368</v>
      </c>
      <c r="E1046" s="8" t="s">
        <v>4368</v>
      </c>
      <c r="F1046" s="7"/>
      <c r="G1046" s="8" t="s">
        <v>4381</v>
      </c>
    </row>
    <row r="1047" spans="1:9" x14ac:dyDescent="0.25">
      <c r="A1047" s="8" t="s">
        <v>4366</v>
      </c>
      <c r="B1047" s="8" t="s">
        <v>4382</v>
      </c>
      <c r="C1047" s="8" t="s">
        <v>4370</v>
      </c>
      <c r="D1047" s="8" t="s">
        <v>4369</v>
      </c>
      <c r="E1047" s="8" t="s">
        <v>4369</v>
      </c>
      <c r="F1047" s="7"/>
      <c r="G1047" s="8" t="s">
        <v>4382</v>
      </c>
    </row>
    <row r="1048" spans="1:9" x14ac:dyDescent="0.25">
      <c r="A1048" s="8" t="s">
        <v>4366</v>
      </c>
      <c r="B1048" s="8" t="s">
        <v>4383</v>
      </c>
      <c r="C1048" s="8" t="s">
        <v>4371</v>
      </c>
      <c r="D1048" s="8" t="s">
        <v>4370</v>
      </c>
      <c r="E1048" s="8" t="s">
        <v>4370</v>
      </c>
      <c r="F1048" s="7"/>
      <c r="G1048" s="8" t="s">
        <v>4383</v>
      </c>
    </row>
    <row r="1049" spans="1:9" x14ac:dyDescent="0.25">
      <c r="A1049" s="8" t="s">
        <v>4366</v>
      </c>
      <c r="B1049" s="8" t="s">
        <v>4396</v>
      </c>
      <c r="C1049" s="8" t="s">
        <v>4395</v>
      </c>
      <c r="D1049" s="8" t="s">
        <v>4371</v>
      </c>
      <c r="E1049" s="8" t="s">
        <v>4371</v>
      </c>
      <c r="F1049" s="7"/>
      <c r="G1049" s="8" t="s">
        <v>4396</v>
      </c>
    </row>
    <row r="1050" spans="1:9" ht="12" customHeight="1" x14ac:dyDescent="0.25">
      <c r="A1050" s="10"/>
      <c r="B1050" s="10"/>
      <c r="C1050" s="10"/>
      <c r="D1050" s="10"/>
      <c r="E1050" s="10"/>
      <c r="F1050" s="10"/>
      <c r="G1050" s="10"/>
      <c r="H1050" s="10"/>
      <c r="I1050" s="10"/>
    </row>
    <row r="1051" spans="1:9" x14ac:dyDescent="0.25">
      <c r="A1051" s="8" t="s">
        <v>4435</v>
      </c>
      <c r="B1051" s="8">
        <v>1</v>
      </c>
      <c r="C1051" s="8" t="s">
        <v>4436</v>
      </c>
      <c r="D1051" s="8" t="s">
        <v>4441</v>
      </c>
      <c r="E1051" s="8" t="s">
        <v>4447</v>
      </c>
    </row>
    <row r="1052" spans="1:9" x14ac:dyDescent="0.25">
      <c r="A1052" s="8" t="s">
        <v>4435</v>
      </c>
      <c r="B1052" s="8">
        <v>2</v>
      </c>
      <c r="C1052" s="8" t="s">
        <v>4437</v>
      </c>
      <c r="D1052" s="8" t="s">
        <v>4442</v>
      </c>
      <c r="E1052" s="8" t="s">
        <v>4448</v>
      </c>
    </row>
    <row r="1053" spans="1:9" x14ac:dyDescent="0.25">
      <c r="A1053" s="8" t="s">
        <v>4435</v>
      </c>
      <c r="B1053" s="8">
        <v>3</v>
      </c>
      <c r="C1053" s="8" t="s">
        <v>4438</v>
      </c>
      <c r="D1053" s="8" t="s">
        <v>4443</v>
      </c>
      <c r="E1053" s="8" t="s">
        <v>4449</v>
      </c>
    </row>
    <row r="1054" spans="1:9" x14ac:dyDescent="0.25">
      <c r="A1054" s="8" t="s">
        <v>4435</v>
      </c>
      <c r="B1054" s="8">
        <v>4</v>
      </c>
      <c r="C1054" s="8" t="s">
        <v>4439</v>
      </c>
      <c r="D1054" s="8" t="s">
        <v>4444</v>
      </c>
      <c r="E1054" s="8" t="s">
        <v>4450</v>
      </c>
    </row>
    <row r="1055" spans="1:9" x14ac:dyDescent="0.25">
      <c r="A1055" s="8" t="s">
        <v>4435</v>
      </c>
      <c r="B1055" s="8">
        <v>5</v>
      </c>
      <c r="C1055" s="8" t="s">
        <v>4440</v>
      </c>
      <c r="D1055" s="8" t="s">
        <v>4445</v>
      </c>
      <c r="E1055" s="8" t="s">
        <v>4446</v>
      </c>
    </row>
    <row r="1056" spans="1:9" ht="12" customHeight="1" x14ac:dyDescent="0.25">
      <c r="A1056" s="10"/>
      <c r="B1056" s="10"/>
      <c r="C1056" s="10"/>
      <c r="D1056" s="10"/>
      <c r="E1056" s="10"/>
      <c r="F1056" s="10"/>
      <c r="G1056" s="10"/>
      <c r="H1056" s="10"/>
      <c r="I1056" s="10"/>
    </row>
    <row r="1057" spans="1:9" x14ac:dyDescent="0.25">
      <c r="A1057" s="8" t="s">
        <v>4460</v>
      </c>
      <c r="B1057" s="8">
        <v>1</v>
      </c>
      <c r="C1057" s="8" t="s">
        <v>97</v>
      </c>
      <c r="D1057" s="8" t="s">
        <v>828</v>
      </c>
      <c r="E1057" s="8" t="s">
        <v>4462</v>
      </c>
    </row>
    <row r="1058" spans="1:9" x14ac:dyDescent="0.25">
      <c r="A1058" s="8" t="s">
        <v>4460</v>
      </c>
      <c r="B1058" s="8">
        <v>2</v>
      </c>
      <c r="C1058" s="8" t="s">
        <v>99</v>
      </c>
      <c r="D1058" s="8" t="s">
        <v>544</v>
      </c>
      <c r="E1058" s="8" t="s">
        <v>1336</v>
      </c>
    </row>
    <row r="1059" spans="1:9" x14ac:dyDescent="0.25">
      <c r="A1059" s="8" t="s">
        <v>4460</v>
      </c>
      <c r="B1059" s="8">
        <v>3</v>
      </c>
      <c r="C1059" s="8" t="s">
        <v>3724</v>
      </c>
      <c r="D1059" s="8" t="s">
        <v>4461</v>
      </c>
      <c r="E1059" s="8" t="s">
        <v>4463</v>
      </c>
    </row>
    <row r="1060" spans="1:9" x14ac:dyDescent="0.25">
      <c r="A1060" s="8" t="s">
        <v>4460</v>
      </c>
      <c r="B1060" s="8">
        <v>4</v>
      </c>
      <c r="C1060" s="8" t="s">
        <v>822</v>
      </c>
      <c r="D1060" s="8" t="s">
        <v>545</v>
      </c>
      <c r="E1060" s="8" t="s">
        <v>1337</v>
      </c>
    </row>
    <row r="1061" spans="1:9" x14ac:dyDescent="0.25">
      <c r="A1061" s="8" t="s">
        <v>4460</v>
      </c>
      <c r="B1061" s="8">
        <v>5</v>
      </c>
      <c r="C1061" s="8" t="s">
        <v>699</v>
      </c>
      <c r="D1061" s="8" t="s">
        <v>546</v>
      </c>
      <c r="E1061" s="8" t="s">
        <v>4464</v>
      </c>
    </row>
    <row r="1062" spans="1:9" ht="12" customHeight="1" x14ac:dyDescent="0.25">
      <c r="A1062" s="10"/>
      <c r="B1062" s="10"/>
      <c r="C1062" s="10"/>
      <c r="D1062" s="10"/>
      <c r="E1062" s="10"/>
      <c r="F1062" s="10"/>
      <c r="G1062" s="10"/>
      <c r="H1062" s="10"/>
      <c r="I1062" s="10"/>
    </row>
    <row r="1063" spans="1:9" x14ac:dyDescent="0.25">
      <c r="A1063" s="8" t="s">
        <v>4470</v>
      </c>
      <c r="B1063" s="8">
        <v>1</v>
      </c>
      <c r="C1063" s="8" t="s">
        <v>4472</v>
      </c>
      <c r="D1063" s="8" t="s">
        <v>4476</v>
      </c>
      <c r="E1063" s="8" t="s">
        <v>4481</v>
      </c>
    </row>
    <row r="1064" spans="1:9" x14ac:dyDescent="0.25">
      <c r="A1064" s="8" t="s">
        <v>4470</v>
      </c>
      <c r="B1064" s="8">
        <v>2</v>
      </c>
      <c r="C1064" s="8" t="s">
        <v>4473</v>
      </c>
      <c r="D1064" s="8" t="s">
        <v>4477</v>
      </c>
      <c r="E1064" s="8" t="s">
        <v>4482</v>
      </c>
    </row>
    <row r="1065" spans="1:9" x14ac:dyDescent="0.25">
      <c r="A1065" s="8" t="s">
        <v>4470</v>
      </c>
      <c r="B1065" s="8">
        <v>3</v>
      </c>
      <c r="C1065" s="8" t="s">
        <v>4474</v>
      </c>
      <c r="D1065" s="8" t="s">
        <v>4478</v>
      </c>
      <c r="E1065" s="8" t="s">
        <v>4483</v>
      </c>
    </row>
    <row r="1066" spans="1:9" x14ac:dyDescent="0.25">
      <c r="A1066" s="8" t="s">
        <v>4470</v>
      </c>
      <c r="B1066" s="8">
        <v>4</v>
      </c>
      <c r="C1066" s="8" t="s">
        <v>4475</v>
      </c>
      <c r="D1066" s="8" t="s">
        <v>4479</v>
      </c>
      <c r="E1066" s="8" t="s">
        <v>4484</v>
      </c>
    </row>
    <row r="1067" spans="1:9" x14ac:dyDescent="0.25">
      <c r="A1067" s="8" t="s">
        <v>4470</v>
      </c>
      <c r="B1067" s="8">
        <v>5</v>
      </c>
      <c r="C1067" s="8" t="s">
        <v>4471</v>
      </c>
      <c r="D1067" s="8" t="s">
        <v>4480</v>
      </c>
      <c r="E1067" s="8" t="s">
        <v>4485</v>
      </c>
    </row>
    <row r="1068" spans="1:9" ht="12" customHeight="1" x14ac:dyDescent="0.25">
      <c r="A1068" s="10"/>
      <c r="B1068" s="10"/>
      <c r="C1068" s="10"/>
      <c r="D1068" s="10"/>
      <c r="E1068" s="10"/>
      <c r="F1068" s="10"/>
      <c r="G1068" s="10"/>
      <c r="H1068" s="10"/>
      <c r="I1068" s="10"/>
    </row>
    <row r="1069" spans="1:9" x14ac:dyDescent="0.25">
      <c r="A1069" s="8" t="s">
        <v>4491</v>
      </c>
      <c r="B1069" s="8">
        <v>1</v>
      </c>
      <c r="C1069" s="8" t="s">
        <v>4492</v>
      </c>
      <c r="D1069" s="8" t="s">
        <v>4495</v>
      </c>
      <c r="E1069" s="8" t="s">
        <v>4498</v>
      </c>
    </row>
    <row r="1070" spans="1:9" x14ac:dyDescent="0.25">
      <c r="A1070" s="8" t="s">
        <v>4491</v>
      </c>
      <c r="B1070" s="8">
        <v>2</v>
      </c>
      <c r="C1070" s="8" t="s">
        <v>4493</v>
      </c>
      <c r="D1070" s="8" t="s">
        <v>4496</v>
      </c>
      <c r="E1070" s="8" t="s">
        <v>4499</v>
      </c>
    </row>
    <row r="1071" spans="1:9" x14ac:dyDescent="0.25">
      <c r="A1071" s="8" t="s">
        <v>4491</v>
      </c>
      <c r="B1071" s="8">
        <v>3</v>
      </c>
      <c r="C1071" s="8" t="s">
        <v>4494</v>
      </c>
      <c r="D1071" s="8" t="s">
        <v>4497</v>
      </c>
      <c r="E1071" s="8" t="s">
        <v>4500</v>
      </c>
    </row>
    <row r="1072" spans="1:9" x14ac:dyDescent="0.25">
      <c r="A1072" s="8" t="s">
        <v>4491</v>
      </c>
      <c r="B1072" s="8">
        <v>4</v>
      </c>
      <c r="C1072" s="8" t="s">
        <v>4471</v>
      </c>
      <c r="D1072" s="8" t="s">
        <v>4480</v>
      </c>
      <c r="E1072" s="8" t="s">
        <v>4485</v>
      </c>
    </row>
    <row r="1073" spans="1:9" ht="12" customHeight="1" x14ac:dyDescent="0.25">
      <c r="A1073" s="10"/>
      <c r="B1073" s="10"/>
      <c r="C1073" s="10"/>
      <c r="D1073" s="10"/>
      <c r="E1073" s="10"/>
      <c r="F1073" s="10"/>
      <c r="G1073" s="10"/>
      <c r="H1073" s="10"/>
      <c r="I1073" s="10"/>
    </row>
    <row r="1074" spans="1:9" x14ac:dyDescent="0.25">
      <c r="A1074" s="8" t="s">
        <v>4843</v>
      </c>
      <c r="B1074" s="8">
        <v>1</v>
      </c>
      <c r="C1074" s="8" t="s">
        <v>81</v>
      </c>
      <c r="D1074" s="8" t="s">
        <v>82</v>
      </c>
      <c r="E1074" s="8" t="s">
        <v>1020</v>
      </c>
    </row>
    <row r="1075" spans="1:9" x14ac:dyDescent="0.25">
      <c r="A1075" s="8" t="s">
        <v>4843</v>
      </c>
      <c r="B1075" s="8">
        <v>2</v>
      </c>
      <c r="C1075" s="8" t="s">
        <v>3333</v>
      </c>
      <c r="D1075" s="8" t="s">
        <v>4506</v>
      </c>
      <c r="E1075" s="8" t="s">
        <v>4508</v>
      </c>
    </row>
    <row r="1076" spans="1:9" x14ac:dyDescent="0.25">
      <c r="A1076" s="8" t="s">
        <v>4843</v>
      </c>
      <c r="B1076" s="8">
        <v>3</v>
      </c>
      <c r="C1076" s="8" t="s">
        <v>83</v>
      </c>
      <c r="D1076" s="8" t="s">
        <v>84</v>
      </c>
      <c r="E1076" s="8" t="s">
        <v>1021</v>
      </c>
    </row>
    <row r="1077" spans="1:9" x14ac:dyDescent="0.25">
      <c r="A1077" s="8" t="s">
        <v>4843</v>
      </c>
      <c r="B1077" s="8">
        <v>4</v>
      </c>
      <c r="C1077" s="8" t="s">
        <v>4471</v>
      </c>
      <c r="D1077" s="8" t="s">
        <v>4507</v>
      </c>
      <c r="E1077" s="8" t="s">
        <v>4485</v>
      </c>
    </row>
    <row r="1078" spans="1:9" ht="12" customHeight="1" x14ac:dyDescent="0.25">
      <c r="A1078" s="10"/>
      <c r="B1078" s="10"/>
      <c r="C1078" s="10"/>
      <c r="D1078" s="10"/>
      <c r="E1078" s="10"/>
      <c r="F1078" s="10"/>
      <c r="G1078" s="10"/>
      <c r="H1078" s="10"/>
      <c r="I1078" s="10"/>
    </row>
    <row r="1079" spans="1:9" x14ac:dyDescent="0.25">
      <c r="A1079" s="8" t="s">
        <v>4517</v>
      </c>
      <c r="B1079" s="8">
        <v>1</v>
      </c>
      <c r="C1079" s="8" t="s">
        <v>4522</v>
      </c>
      <c r="D1079" s="8" t="s">
        <v>4523</v>
      </c>
      <c r="E1079" s="8" t="s">
        <v>1724</v>
      </c>
    </row>
    <row r="1080" spans="1:9" x14ac:dyDescent="0.25">
      <c r="A1080" s="8" t="s">
        <v>4517</v>
      </c>
      <c r="B1080" s="8">
        <v>2</v>
      </c>
      <c r="C1080" s="8" t="s">
        <v>4521</v>
      </c>
      <c r="D1080" s="8" t="s">
        <v>4524</v>
      </c>
      <c r="E1080" s="8" t="s">
        <v>4528</v>
      </c>
    </row>
    <row r="1081" spans="1:9" x14ac:dyDescent="0.25">
      <c r="A1081" s="8" t="s">
        <v>4517</v>
      </c>
      <c r="B1081" s="8">
        <v>3</v>
      </c>
      <c r="C1081" s="8" t="s">
        <v>4520</v>
      </c>
      <c r="D1081" s="8" t="s">
        <v>4525</v>
      </c>
      <c r="E1081" s="8" t="s">
        <v>4529</v>
      </c>
    </row>
    <row r="1082" spans="1:9" x14ac:dyDescent="0.25">
      <c r="A1082" s="8" t="s">
        <v>4517</v>
      </c>
      <c r="B1082" s="8">
        <v>4</v>
      </c>
      <c r="C1082" s="8" t="s">
        <v>3899</v>
      </c>
      <c r="D1082" s="8" t="s">
        <v>4526</v>
      </c>
      <c r="E1082" s="8" t="s">
        <v>4530</v>
      </c>
    </row>
    <row r="1083" spans="1:9" x14ac:dyDescent="0.25">
      <c r="A1083" s="8" t="s">
        <v>4517</v>
      </c>
      <c r="B1083" s="8">
        <v>5</v>
      </c>
      <c r="C1083" s="8" t="s">
        <v>4519</v>
      </c>
      <c r="D1083" s="8" t="s">
        <v>4527</v>
      </c>
      <c r="E1083" s="8" t="s">
        <v>4531</v>
      </c>
    </row>
    <row r="1084" spans="1:9" x14ac:dyDescent="0.25">
      <c r="A1084" s="8" t="s">
        <v>4517</v>
      </c>
      <c r="B1084" s="8">
        <v>6</v>
      </c>
      <c r="C1084" s="8" t="s">
        <v>4518</v>
      </c>
      <c r="D1084" s="8" t="s">
        <v>86</v>
      </c>
      <c r="E1084" s="8" t="s">
        <v>1191</v>
      </c>
    </row>
    <row r="1085" spans="1:9" ht="12" customHeight="1" x14ac:dyDescent="0.25">
      <c r="A1085" s="10"/>
      <c r="B1085" s="10"/>
      <c r="C1085" s="10"/>
      <c r="D1085" s="10"/>
      <c r="E1085" s="10"/>
      <c r="F1085" s="10"/>
      <c r="G1085" s="10"/>
      <c r="H1085" s="10"/>
      <c r="I1085" s="10"/>
    </row>
    <row r="1086" spans="1:9" x14ac:dyDescent="0.25">
      <c r="A1086" s="8" t="s">
        <v>4538</v>
      </c>
      <c r="B1086" s="8">
        <v>1</v>
      </c>
      <c r="C1086" s="8" t="s">
        <v>4539</v>
      </c>
      <c r="D1086" s="8" t="s">
        <v>4543</v>
      </c>
      <c r="E1086" s="8" t="s">
        <v>4547</v>
      </c>
    </row>
    <row r="1087" spans="1:9" x14ac:dyDescent="0.25">
      <c r="A1087" s="8" t="s">
        <v>4538</v>
      </c>
      <c r="B1087" s="8">
        <v>2</v>
      </c>
      <c r="C1087" s="8" t="s">
        <v>4540</v>
      </c>
      <c r="D1087" s="8" t="s">
        <v>4544</v>
      </c>
      <c r="E1087" s="8" t="s">
        <v>4548</v>
      </c>
    </row>
    <row r="1088" spans="1:9" x14ac:dyDescent="0.25">
      <c r="A1088" s="8" t="s">
        <v>4538</v>
      </c>
      <c r="B1088" s="8">
        <v>3</v>
      </c>
      <c r="C1088" s="8" t="s">
        <v>4541</v>
      </c>
      <c r="D1088" s="8" t="s">
        <v>4545</v>
      </c>
      <c r="E1088" s="8" t="s">
        <v>4549</v>
      </c>
    </row>
    <row r="1089" spans="1:9" x14ac:dyDescent="0.25">
      <c r="A1089" s="8" t="s">
        <v>4538</v>
      </c>
      <c r="B1089" s="8">
        <v>4</v>
      </c>
      <c r="C1089" s="8" t="s">
        <v>4542</v>
      </c>
      <c r="D1089" s="8" t="s">
        <v>4546</v>
      </c>
      <c r="E1089" s="8" t="s">
        <v>4550</v>
      </c>
    </row>
    <row r="1090" spans="1:9" x14ac:dyDescent="0.25">
      <c r="A1090" s="8" t="s">
        <v>4538</v>
      </c>
      <c r="B1090" s="8">
        <v>5</v>
      </c>
      <c r="C1090" s="8" t="s">
        <v>846</v>
      </c>
      <c r="D1090" s="8" t="s">
        <v>86</v>
      </c>
      <c r="E1090" s="8" t="s">
        <v>1191</v>
      </c>
    </row>
    <row r="1091" spans="1:9" ht="12" customHeight="1" x14ac:dyDescent="0.25">
      <c r="A1091" s="10"/>
      <c r="B1091" s="10"/>
      <c r="C1091" s="10"/>
      <c r="D1091" s="10"/>
      <c r="E1091" s="10"/>
      <c r="F1091" s="10"/>
      <c r="G1091" s="10"/>
      <c r="H1091" s="10"/>
      <c r="I1091" s="10"/>
    </row>
    <row r="1092" spans="1:9" x14ac:dyDescent="0.25">
      <c r="A1092" s="8" t="s">
        <v>4556</v>
      </c>
      <c r="B1092" s="8">
        <v>1</v>
      </c>
      <c r="C1092" s="8" t="s">
        <v>4557</v>
      </c>
      <c r="D1092" s="8" t="s">
        <v>4561</v>
      </c>
      <c r="E1092" s="8" t="s">
        <v>4566</v>
      </c>
    </row>
    <row r="1093" spans="1:9" x14ac:dyDescent="0.25">
      <c r="A1093" s="8" t="s">
        <v>4556</v>
      </c>
      <c r="B1093" s="8">
        <v>2</v>
      </c>
      <c r="C1093" s="8" t="s">
        <v>4558</v>
      </c>
      <c r="D1093" s="8" t="s">
        <v>4562</v>
      </c>
      <c r="E1093" s="8" t="s">
        <v>4567</v>
      </c>
    </row>
    <row r="1094" spans="1:9" x14ac:dyDescent="0.25">
      <c r="A1094" s="8" t="s">
        <v>4556</v>
      </c>
      <c r="B1094" s="8">
        <v>3</v>
      </c>
      <c r="C1094" s="8" t="s">
        <v>4559</v>
      </c>
      <c r="D1094" s="8" t="s">
        <v>4563</v>
      </c>
      <c r="E1094" s="8" t="s">
        <v>4568</v>
      </c>
    </row>
    <row r="1095" spans="1:9" x14ac:dyDescent="0.25">
      <c r="A1095" s="8" t="s">
        <v>4556</v>
      </c>
      <c r="B1095" s="8">
        <v>4</v>
      </c>
      <c r="C1095" s="8" t="s">
        <v>4560</v>
      </c>
      <c r="D1095" s="8" t="s">
        <v>4564</v>
      </c>
      <c r="E1095" s="8" t="s">
        <v>4569</v>
      </c>
    </row>
    <row r="1096" spans="1:9" x14ac:dyDescent="0.25">
      <c r="A1096" s="8" t="s">
        <v>4556</v>
      </c>
      <c r="B1096" s="8">
        <v>5</v>
      </c>
      <c r="C1096" s="8" t="s">
        <v>846</v>
      </c>
      <c r="D1096" s="8" t="s">
        <v>4565</v>
      </c>
      <c r="E1096" s="8" t="s">
        <v>1191</v>
      </c>
    </row>
    <row r="1097" spans="1:9" ht="12" customHeight="1" x14ac:dyDescent="0.25">
      <c r="A1097" s="10"/>
      <c r="B1097" s="10"/>
      <c r="C1097" s="10"/>
      <c r="D1097" s="10"/>
      <c r="E1097" s="10"/>
      <c r="F1097" s="10"/>
      <c r="G1097" s="10"/>
      <c r="H1097" s="10"/>
      <c r="I1097" s="10"/>
    </row>
    <row r="1098" spans="1:9" x14ac:dyDescent="0.25">
      <c r="A1098" s="8" t="s">
        <v>4575</v>
      </c>
      <c r="B1098" s="8">
        <v>1</v>
      </c>
      <c r="C1098" s="8" t="s">
        <v>4586</v>
      </c>
      <c r="D1098" s="8" t="s">
        <v>4576</v>
      </c>
      <c r="E1098" s="8" t="s">
        <v>4581</v>
      </c>
    </row>
    <row r="1099" spans="1:9" x14ac:dyDescent="0.25">
      <c r="A1099" s="8" t="s">
        <v>4575</v>
      </c>
      <c r="B1099" s="8">
        <v>2</v>
      </c>
      <c r="C1099" s="8" t="s">
        <v>4587</v>
      </c>
      <c r="D1099" s="8" t="s">
        <v>4577</v>
      </c>
      <c r="E1099" s="8" t="s">
        <v>4582</v>
      </c>
    </row>
    <row r="1100" spans="1:9" x14ac:dyDescent="0.25">
      <c r="A1100" s="8" t="s">
        <v>4575</v>
      </c>
      <c r="B1100" s="8">
        <v>3</v>
      </c>
      <c r="C1100" s="8" t="s">
        <v>4588</v>
      </c>
      <c r="D1100" s="8" t="s">
        <v>4578</v>
      </c>
      <c r="E1100" s="8" t="s">
        <v>4583</v>
      </c>
    </row>
    <row r="1101" spans="1:9" x14ac:dyDescent="0.25">
      <c r="A1101" s="8" t="s">
        <v>4575</v>
      </c>
      <c r="B1101" s="8">
        <v>4</v>
      </c>
      <c r="C1101" s="8" t="s">
        <v>4589</v>
      </c>
      <c r="D1101" s="8" t="s">
        <v>4579</v>
      </c>
      <c r="E1101" s="8" t="s">
        <v>4584</v>
      </c>
    </row>
    <row r="1102" spans="1:9" x14ac:dyDescent="0.25">
      <c r="A1102" s="8" t="s">
        <v>4575</v>
      </c>
      <c r="B1102" s="8">
        <v>5</v>
      </c>
      <c r="C1102" s="8" t="s">
        <v>4590</v>
      </c>
      <c r="D1102" s="8" t="s">
        <v>4580</v>
      </c>
      <c r="E1102" s="8" t="s">
        <v>4585</v>
      </c>
    </row>
    <row r="1103" spans="1:9" ht="12" customHeight="1" x14ac:dyDescent="0.25">
      <c r="A1103" s="10"/>
      <c r="B1103" s="10"/>
      <c r="C1103" s="10"/>
      <c r="D1103" s="10"/>
      <c r="E1103" s="10"/>
      <c r="F1103" s="10"/>
      <c r="G1103" s="10"/>
      <c r="H1103" s="10"/>
      <c r="I1103" s="10"/>
    </row>
    <row r="1104" spans="1:9" x14ac:dyDescent="0.25">
      <c r="A1104" s="8" t="s">
        <v>4593</v>
      </c>
      <c r="B1104" s="8">
        <v>1</v>
      </c>
      <c r="C1104" s="8" t="s">
        <v>4596</v>
      </c>
      <c r="D1104" s="8" t="s">
        <v>4604</v>
      </c>
      <c r="E1104" s="8" t="s">
        <v>4609</v>
      </c>
    </row>
    <row r="1105" spans="1:9" x14ac:dyDescent="0.25">
      <c r="A1105" s="8" t="s">
        <v>4593</v>
      </c>
      <c r="B1105" s="8">
        <v>2</v>
      </c>
      <c r="C1105" s="8" t="s">
        <v>4597</v>
      </c>
      <c r="D1105" s="8" t="s">
        <v>4605</v>
      </c>
      <c r="E1105" s="8" t="s">
        <v>4610</v>
      </c>
    </row>
    <row r="1106" spans="1:9" x14ac:dyDescent="0.25">
      <c r="A1106" s="8" t="s">
        <v>4593</v>
      </c>
      <c r="B1106" s="8">
        <v>3</v>
      </c>
      <c r="C1106" s="8" t="s">
        <v>4598</v>
      </c>
      <c r="D1106" s="8" t="s">
        <v>4606</v>
      </c>
      <c r="E1106" s="8" t="s">
        <v>4611</v>
      </c>
    </row>
    <row r="1107" spans="1:9" x14ac:dyDescent="0.25">
      <c r="A1107" s="8" t="s">
        <v>4593</v>
      </c>
      <c r="B1107" s="8">
        <v>4</v>
      </c>
      <c r="C1107" s="8" t="s">
        <v>4599</v>
      </c>
      <c r="D1107" s="8" t="s">
        <v>4607</v>
      </c>
      <c r="E1107" s="8" t="s">
        <v>4612</v>
      </c>
    </row>
    <row r="1108" spans="1:9" x14ac:dyDescent="0.25">
      <c r="A1108" s="8" t="s">
        <v>4593</v>
      </c>
      <c r="B1108" s="8">
        <v>5</v>
      </c>
      <c r="C1108" s="8" t="s">
        <v>4600</v>
      </c>
      <c r="D1108" s="8" t="s">
        <v>4608</v>
      </c>
      <c r="E1108" s="8" t="s">
        <v>4613</v>
      </c>
    </row>
    <row r="1109" spans="1:9" x14ac:dyDescent="0.25">
      <c r="A1109" s="8" t="s">
        <v>4593</v>
      </c>
      <c r="B1109" s="8">
        <v>6</v>
      </c>
      <c r="C1109" s="8" t="s">
        <v>140</v>
      </c>
      <c r="D1109" s="8" t="s">
        <v>153</v>
      </c>
      <c r="E1109" s="8" t="s">
        <v>1158</v>
      </c>
    </row>
    <row r="1110" spans="1:9" ht="12" customHeight="1" x14ac:dyDescent="0.25">
      <c r="A1110" s="10"/>
      <c r="B1110" s="10"/>
      <c r="C1110" s="10"/>
      <c r="D1110" s="10"/>
      <c r="E1110" s="10"/>
      <c r="F1110" s="10"/>
      <c r="G1110" s="10"/>
      <c r="H1110" s="10"/>
      <c r="I1110" s="10"/>
    </row>
    <row r="1111" spans="1:9" x14ac:dyDescent="0.25">
      <c r="A1111" s="8" t="s">
        <v>4844</v>
      </c>
      <c r="B1111" s="8">
        <v>1</v>
      </c>
      <c r="C1111" s="8" t="s">
        <v>4596</v>
      </c>
      <c r="D1111" s="8" t="s">
        <v>4604</v>
      </c>
      <c r="E1111" s="8" t="s">
        <v>4609</v>
      </c>
    </row>
    <row r="1112" spans="1:9" x14ac:dyDescent="0.25">
      <c r="A1112" s="8" t="s">
        <v>4844</v>
      </c>
      <c r="B1112" s="8">
        <v>2</v>
      </c>
      <c r="C1112" s="8" t="s">
        <v>4597</v>
      </c>
      <c r="D1112" s="8" t="s">
        <v>4605</v>
      </c>
      <c r="E1112" s="8" t="s">
        <v>4610</v>
      </c>
    </row>
    <row r="1113" spans="1:9" x14ac:dyDescent="0.25">
      <c r="A1113" s="8" t="s">
        <v>4844</v>
      </c>
      <c r="B1113" s="8">
        <v>3</v>
      </c>
      <c r="C1113" s="8" t="s">
        <v>4598</v>
      </c>
      <c r="D1113" s="8" t="s">
        <v>4606</v>
      </c>
      <c r="E1113" s="8" t="s">
        <v>4611</v>
      </c>
    </row>
    <row r="1114" spans="1:9" x14ac:dyDescent="0.25">
      <c r="A1114" s="8" t="s">
        <v>4844</v>
      </c>
      <c r="B1114" s="8">
        <v>4</v>
      </c>
      <c r="C1114" s="8" t="s">
        <v>4599</v>
      </c>
      <c r="D1114" s="8" t="s">
        <v>4607</v>
      </c>
      <c r="E1114" s="8" t="s">
        <v>4612</v>
      </c>
    </row>
    <row r="1115" spans="1:9" x14ac:dyDescent="0.25">
      <c r="A1115" s="8" t="s">
        <v>4844</v>
      </c>
      <c r="B1115" s="8">
        <v>5</v>
      </c>
      <c r="C1115" s="8" t="s">
        <v>4600</v>
      </c>
      <c r="D1115" s="8" t="s">
        <v>4608</v>
      </c>
      <c r="E1115" s="8" t="s">
        <v>4613</v>
      </c>
    </row>
    <row r="1116" spans="1:9" x14ac:dyDescent="0.25">
      <c r="A1116" s="8" t="s">
        <v>4844</v>
      </c>
      <c r="B1116" s="8">
        <v>6</v>
      </c>
      <c r="C1116" s="8" t="s">
        <v>140</v>
      </c>
      <c r="D1116" s="8" t="s">
        <v>153</v>
      </c>
      <c r="E1116" s="8" t="s">
        <v>1158</v>
      </c>
    </row>
    <row r="1117" spans="1:9" ht="12" customHeight="1" x14ac:dyDescent="0.25">
      <c r="A1117" s="10"/>
      <c r="B1117" s="10"/>
      <c r="C1117" s="10"/>
      <c r="D1117" s="10"/>
      <c r="E1117" s="10"/>
      <c r="F1117" s="10"/>
      <c r="G1117" s="10"/>
      <c r="H1117" s="10"/>
      <c r="I1117" s="10"/>
    </row>
    <row r="1118" spans="1:9" x14ac:dyDescent="0.25">
      <c r="A1118" s="8" t="s">
        <v>4620</v>
      </c>
      <c r="B1118" s="8">
        <v>1</v>
      </c>
      <c r="C1118" s="8" t="s">
        <v>4621</v>
      </c>
      <c r="D1118" s="8" t="s">
        <v>4633</v>
      </c>
      <c r="E1118" s="8" t="s">
        <v>4645</v>
      </c>
    </row>
    <row r="1119" spans="1:9" x14ac:dyDescent="0.25">
      <c r="A1119" s="8" t="s">
        <v>4620</v>
      </c>
      <c r="B1119" s="8">
        <v>2</v>
      </c>
      <c r="C1119" s="8" t="s">
        <v>4622</v>
      </c>
      <c r="D1119" s="8" t="s">
        <v>4634</v>
      </c>
      <c r="E1119" s="8" t="s">
        <v>4634</v>
      </c>
    </row>
    <row r="1120" spans="1:9" x14ac:dyDescent="0.25">
      <c r="A1120" s="8" t="s">
        <v>4620</v>
      </c>
      <c r="B1120" s="8">
        <v>3</v>
      </c>
      <c r="C1120" s="8" t="s">
        <v>4623</v>
      </c>
      <c r="D1120" s="8" t="s">
        <v>4635</v>
      </c>
      <c r="E1120" s="8" t="s">
        <v>4646</v>
      </c>
    </row>
    <row r="1121" spans="1:9" x14ac:dyDescent="0.25">
      <c r="A1121" s="8" t="s">
        <v>4620</v>
      </c>
      <c r="B1121" s="8">
        <v>4</v>
      </c>
      <c r="C1121" s="8" t="s">
        <v>4624</v>
      </c>
      <c r="D1121" s="8" t="s">
        <v>4636</v>
      </c>
      <c r="E1121" s="8" t="s">
        <v>4647</v>
      </c>
    </row>
    <row r="1122" spans="1:9" x14ac:dyDescent="0.25">
      <c r="A1122" s="8" t="s">
        <v>4620</v>
      </c>
      <c r="B1122" s="8">
        <v>5</v>
      </c>
      <c r="C1122" s="8" t="s">
        <v>4625</v>
      </c>
      <c r="D1122" s="8" t="s">
        <v>4637</v>
      </c>
      <c r="E1122" s="8" t="s">
        <v>4637</v>
      </c>
    </row>
    <row r="1123" spans="1:9" x14ac:dyDescent="0.25">
      <c r="A1123" s="8" t="s">
        <v>4620</v>
      </c>
      <c r="B1123" s="8">
        <v>6</v>
      </c>
      <c r="C1123" s="8" t="s">
        <v>4626</v>
      </c>
      <c r="D1123" s="8" t="s">
        <v>4638</v>
      </c>
      <c r="E1123" s="8" t="s">
        <v>4648</v>
      </c>
    </row>
    <row r="1124" spans="1:9" x14ac:dyDescent="0.25">
      <c r="A1124" s="8" t="s">
        <v>4620</v>
      </c>
      <c r="B1124" s="8">
        <v>7</v>
      </c>
      <c r="C1124" s="8" t="s">
        <v>4627</v>
      </c>
      <c r="D1124" s="8" t="s">
        <v>4639</v>
      </c>
      <c r="E1124" s="8" t="s">
        <v>4649</v>
      </c>
    </row>
    <row r="1125" spans="1:9" x14ac:dyDescent="0.25">
      <c r="A1125" s="8" t="s">
        <v>4620</v>
      </c>
      <c r="B1125" s="8">
        <v>8</v>
      </c>
      <c r="C1125" s="8" t="s">
        <v>4628</v>
      </c>
      <c r="D1125" s="8" t="s">
        <v>4640</v>
      </c>
      <c r="E1125" s="8" t="s">
        <v>4650</v>
      </c>
    </row>
    <row r="1126" spans="1:9" x14ac:dyDescent="0.25">
      <c r="A1126" s="8" t="s">
        <v>4620</v>
      </c>
      <c r="B1126" s="8">
        <v>9</v>
      </c>
      <c r="C1126" s="8" t="s">
        <v>4629</v>
      </c>
      <c r="D1126" s="8" t="s">
        <v>4641</v>
      </c>
      <c r="E1126" s="8" t="s">
        <v>4651</v>
      </c>
    </row>
    <row r="1127" spans="1:9" x14ac:dyDescent="0.25">
      <c r="A1127" s="8" t="s">
        <v>4620</v>
      </c>
      <c r="B1127" s="8">
        <v>10</v>
      </c>
      <c r="C1127" s="8" t="s">
        <v>4630</v>
      </c>
      <c r="D1127" s="8" t="s">
        <v>4642</v>
      </c>
      <c r="E1127" s="8" t="s">
        <v>4652</v>
      </c>
    </row>
    <row r="1128" spans="1:9" x14ac:dyDescent="0.25">
      <c r="A1128" s="8" t="s">
        <v>4620</v>
      </c>
      <c r="B1128" s="8">
        <v>11</v>
      </c>
      <c r="C1128" s="8" t="s">
        <v>4631</v>
      </c>
      <c r="D1128" s="8" t="s">
        <v>4643</v>
      </c>
      <c r="E1128" s="8" t="s">
        <v>4653</v>
      </c>
    </row>
    <row r="1129" spans="1:9" x14ac:dyDescent="0.25">
      <c r="A1129" s="8" t="s">
        <v>4620</v>
      </c>
      <c r="B1129" s="8">
        <v>12</v>
      </c>
      <c r="C1129" s="8" t="s">
        <v>4632</v>
      </c>
      <c r="D1129" s="8" t="s">
        <v>4644</v>
      </c>
      <c r="E1129" s="8" t="s">
        <v>4654</v>
      </c>
    </row>
    <row r="1130" spans="1:9" x14ac:dyDescent="0.25">
      <c r="A1130" s="8" t="s">
        <v>4620</v>
      </c>
      <c r="B1130" s="8">
        <v>13</v>
      </c>
      <c r="C1130" s="8" t="s">
        <v>140</v>
      </c>
      <c r="D1130" s="8" t="s">
        <v>653</v>
      </c>
      <c r="E1130" s="8" t="s">
        <v>1158</v>
      </c>
    </row>
    <row r="1131" spans="1:9" ht="12" customHeight="1" x14ac:dyDescent="0.25">
      <c r="A1131" s="10"/>
      <c r="B1131" s="10"/>
      <c r="C1131" s="10"/>
      <c r="D1131" s="10"/>
      <c r="E1131" s="10"/>
      <c r="F1131" s="10"/>
      <c r="G1131" s="10"/>
      <c r="H1131" s="10"/>
      <c r="I1131" s="10"/>
    </row>
    <row r="1132" spans="1:9" x14ac:dyDescent="0.25">
      <c r="A1132" s="8" t="s">
        <v>4684</v>
      </c>
      <c r="B1132" s="8">
        <v>1</v>
      </c>
      <c r="C1132" s="8" t="s">
        <v>4664</v>
      </c>
      <c r="D1132" s="8" t="s">
        <v>4669</v>
      </c>
      <c r="E1132" s="8" t="s">
        <v>4674</v>
      </c>
    </row>
    <row r="1133" spans="1:9" x14ac:dyDescent="0.25">
      <c r="A1133" s="8" t="s">
        <v>4684</v>
      </c>
      <c r="B1133" s="8">
        <v>2</v>
      </c>
      <c r="C1133" s="8" t="s">
        <v>4665</v>
      </c>
      <c r="D1133" s="8" t="s">
        <v>4670</v>
      </c>
      <c r="E1133" s="8" t="s">
        <v>4675</v>
      </c>
    </row>
    <row r="1134" spans="1:9" x14ac:dyDescent="0.25">
      <c r="A1134" s="8" t="s">
        <v>4684</v>
      </c>
      <c r="B1134" s="8">
        <v>3</v>
      </c>
      <c r="C1134" s="8" t="s">
        <v>4666</v>
      </c>
      <c r="D1134" s="8" t="s">
        <v>4671</v>
      </c>
      <c r="E1134" s="8" t="s">
        <v>4676</v>
      </c>
    </row>
    <row r="1135" spans="1:9" x14ac:dyDescent="0.25">
      <c r="A1135" s="8" t="s">
        <v>4684</v>
      </c>
      <c r="B1135" s="8">
        <v>4</v>
      </c>
      <c r="C1135" s="8" t="s">
        <v>4667</v>
      </c>
      <c r="D1135" s="8" t="s">
        <v>4672</v>
      </c>
      <c r="E1135" s="8" t="s">
        <v>4677</v>
      </c>
    </row>
    <row r="1136" spans="1:9" x14ac:dyDescent="0.25">
      <c r="A1136" s="8" t="s">
        <v>4684</v>
      </c>
      <c r="B1136" s="8">
        <v>5</v>
      </c>
      <c r="C1136" s="8" t="s">
        <v>4668</v>
      </c>
      <c r="D1136" s="8" t="s">
        <v>4673</v>
      </c>
      <c r="E1136" s="8" t="s">
        <v>4678</v>
      </c>
    </row>
    <row r="1137" spans="1:9" x14ac:dyDescent="0.25">
      <c r="A1137" s="8" t="s">
        <v>4684</v>
      </c>
      <c r="B1137" s="8">
        <v>6</v>
      </c>
      <c r="C1137" s="8" t="s">
        <v>83</v>
      </c>
      <c r="D1137" s="8" t="s">
        <v>84</v>
      </c>
      <c r="E1137" s="8" t="s">
        <v>1021</v>
      </c>
    </row>
    <row r="1138" spans="1:9" x14ac:dyDescent="0.25">
      <c r="A1138" s="8" t="s">
        <v>4684</v>
      </c>
      <c r="B1138" s="8">
        <v>7</v>
      </c>
      <c r="C1138" s="8" t="s">
        <v>846</v>
      </c>
      <c r="D1138" s="8" t="s">
        <v>86</v>
      </c>
      <c r="E1138" s="8" t="s">
        <v>1191</v>
      </c>
    </row>
    <row r="1139" spans="1:9" ht="12" customHeight="1" x14ac:dyDescent="0.25">
      <c r="A1139" s="10"/>
      <c r="B1139" s="10"/>
      <c r="C1139" s="10"/>
      <c r="D1139" s="10"/>
      <c r="E1139" s="10"/>
      <c r="F1139" s="10"/>
      <c r="G1139" s="10"/>
      <c r="H1139" s="10"/>
      <c r="I1139" s="10"/>
    </row>
    <row r="1140" spans="1:9" x14ac:dyDescent="0.25">
      <c r="A1140" s="8" t="s">
        <v>4683</v>
      </c>
      <c r="B1140" s="8">
        <v>1</v>
      </c>
      <c r="C1140" s="8" t="s">
        <v>4685</v>
      </c>
      <c r="D1140" s="8" t="s">
        <v>4691</v>
      </c>
      <c r="E1140" s="8" t="s">
        <v>4697</v>
      </c>
    </row>
    <row r="1141" spans="1:9" x14ac:dyDescent="0.25">
      <c r="A1141" s="8" t="s">
        <v>4683</v>
      </c>
      <c r="B1141" s="8">
        <v>2</v>
      </c>
      <c r="C1141" s="8" t="s">
        <v>4686</v>
      </c>
      <c r="D1141" s="8" t="s">
        <v>4692</v>
      </c>
      <c r="E1141" s="8" t="s">
        <v>4698</v>
      </c>
    </row>
    <row r="1142" spans="1:9" x14ac:dyDescent="0.25">
      <c r="A1142" s="8" t="s">
        <v>4683</v>
      </c>
      <c r="B1142" s="8">
        <v>3</v>
      </c>
      <c r="C1142" s="8" t="s">
        <v>4687</v>
      </c>
      <c r="D1142" s="8" t="s">
        <v>4693</v>
      </c>
      <c r="E1142" s="8" t="s">
        <v>4699</v>
      </c>
    </row>
    <row r="1143" spans="1:9" x14ac:dyDescent="0.25">
      <c r="A1143" s="8" t="s">
        <v>4683</v>
      </c>
      <c r="B1143" s="8">
        <v>4</v>
      </c>
      <c r="C1143" s="8" t="s">
        <v>4688</v>
      </c>
      <c r="D1143" s="8" t="s">
        <v>4694</v>
      </c>
      <c r="E1143" s="8" t="s">
        <v>4700</v>
      </c>
    </row>
    <row r="1144" spans="1:9" x14ac:dyDescent="0.25">
      <c r="A1144" s="8" t="s">
        <v>4683</v>
      </c>
      <c r="B1144" s="8">
        <v>5</v>
      </c>
      <c r="C1144" s="8" t="s">
        <v>4689</v>
      </c>
      <c r="D1144" s="8" t="s">
        <v>4695</v>
      </c>
      <c r="E1144" s="8" t="s">
        <v>4701</v>
      </c>
    </row>
    <row r="1145" spans="1:9" x14ac:dyDescent="0.25">
      <c r="A1145" s="8" t="s">
        <v>4683</v>
      </c>
      <c r="B1145" s="8">
        <v>6</v>
      </c>
      <c r="C1145" s="8" t="s">
        <v>4690</v>
      </c>
      <c r="D1145" s="8" t="s">
        <v>4696</v>
      </c>
      <c r="E1145" s="8" t="s">
        <v>4702</v>
      </c>
    </row>
    <row r="1146" spans="1:9" x14ac:dyDescent="0.25">
      <c r="A1146" s="8" t="s">
        <v>4683</v>
      </c>
      <c r="B1146" s="8">
        <v>7</v>
      </c>
      <c r="C1146" s="8" t="s">
        <v>140</v>
      </c>
      <c r="D1146" s="8" t="s">
        <v>2349</v>
      </c>
      <c r="E1146" s="8" t="s">
        <v>1158</v>
      </c>
    </row>
    <row r="1147" spans="1:9" ht="12" customHeight="1" x14ac:dyDescent="0.25">
      <c r="A1147" s="10"/>
      <c r="B1147" s="10"/>
      <c r="C1147" s="10"/>
      <c r="D1147" s="10"/>
      <c r="E1147" s="10"/>
      <c r="F1147" s="10"/>
      <c r="G1147" s="10"/>
      <c r="H1147" s="10"/>
      <c r="I1147" s="10"/>
    </row>
    <row r="1148" spans="1:9" x14ac:dyDescent="0.25">
      <c r="A1148" s="8" t="s">
        <v>4703</v>
      </c>
      <c r="B1148" s="8">
        <v>1</v>
      </c>
      <c r="C1148" s="8" t="s">
        <v>4709</v>
      </c>
      <c r="D1148" s="8" t="s">
        <v>4712</v>
      </c>
      <c r="E1148" s="8" t="s">
        <v>4715</v>
      </c>
    </row>
    <row r="1149" spans="1:9" x14ac:dyDescent="0.25">
      <c r="A1149" s="8" t="s">
        <v>4703</v>
      </c>
      <c r="B1149" s="8">
        <v>2</v>
      </c>
      <c r="C1149" s="8" t="s">
        <v>4710</v>
      </c>
      <c r="D1149" s="8" t="s">
        <v>4713</v>
      </c>
      <c r="E1149" s="8" t="s">
        <v>4713</v>
      </c>
    </row>
    <row r="1150" spans="1:9" x14ac:dyDescent="0.25">
      <c r="A1150" s="8" t="s">
        <v>4703</v>
      </c>
      <c r="B1150" s="8">
        <v>3</v>
      </c>
      <c r="C1150" s="8" t="s">
        <v>4711</v>
      </c>
      <c r="D1150" s="8" t="s">
        <v>4714</v>
      </c>
      <c r="E1150" s="8" t="s">
        <v>4716</v>
      </c>
    </row>
    <row r="1151" spans="1:9" x14ac:dyDescent="0.25">
      <c r="A1151" s="8" t="s">
        <v>4703</v>
      </c>
      <c r="B1151" s="8">
        <v>4</v>
      </c>
      <c r="C1151" s="8" t="s">
        <v>140</v>
      </c>
      <c r="D1151" s="8" t="s">
        <v>2349</v>
      </c>
      <c r="E1151" s="8" t="s">
        <v>1158</v>
      </c>
    </row>
    <row r="1152" spans="1:9" ht="12" customHeight="1" x14ac:dyDescent="0.25">
      <c r="A1152" s="10"/>
      <c r="B1152" s="10"/>
      <c r="C1152" s="10"/>
      <c r="D1152" s="10"/>
      <c r="E1152" s="10"/>
      <c r="F1152" s="10"/>
      <c r="G1152" s="10"/>
      <c r="H1152" s="10"/>
      <c r="I1152" s="10"/>
    </row>
    <row r="1153" spans="1:9" x14ac:dyDescent="0.25">
      <c r="A1153" s="8" t="s">
        <v>4731</v>
      </c>
      <c r="B1153" s="8">
        <v>1</v>
      </c>
      <c r="C1153" s="8" t="s">
        <v>4732</v>
      </c>
      <c r="D1153" s="8" t="s">
        <v>4741</v>
      </c>
      <c r="E1153" s="8" t="s">
        <v>4750</v>
      </c>
    </row>
    <row r="1154" spans="1:9" x14ac:dyDescent="0.25">
      <c r="A1154" s="8" t="s">
        <v>4731</v>
      </c>
      <c r="B1154" s="8">
        <v>2</v>
      </c>
      <c r="C1154" s="8" t="s">
        <v>4733</v>
      </c>
      <c r="D1154" s="8" t="s">
        <v>4742</v>
      </c>
      <c r="E1154" s="8" t="s">
        <v>4751</v>
      </c>
    </row>
    <row r="1155" spans="1:9" x14ac:dyDescent="0.25">
      <c r="A1155" s="8" t="s">
        <v>4731</v>
      </c>
      <c r="B1155" s="8">
        <v>3</v>
      </c>
      <c r="C1155" s="8" t="s">
        <v>4734</v>
      </c>
      <c r="D1155" s="8" t="s">
        <v>4743</v>
      </c>
      <c r="E1155" s="8" t="s">
        <v>4752</v>
      </c>
    </row>
    <row r="1156" spans="1:9" x14ac:dyDescent="0.25">
      <c r="A1156" s="8" t="s">
        <v>4731</v>
      </c>
      <c r="B1156" s="8">
        <v>4</v>
      </c>
      <c r="C1156" s="8" t="s">
        <v>4735</v>
      </c>
      <c r="D1156" s="8" t="s">
        <v>4744</v>
      </c>
      <c r="E1156" s="8" t="s">
        <v>4753</v>
      </c>
    </row>
    <row r="1157" spans="1:9" x14ac:dyDescent="0.25">
      <c r="A1157" s="8" t="s">
        <v>4731</v>
      </c>
      <c r="B1157" s="8">
        <v>5</v>
      </c>
      <c r="C1157" s="8" t="s">
        <v>4736</v>
      </c>
      <c r="D1157" s="8" t="s">
        <v>4745</v>
      </c>
      <c r="E1157" s="8" t="s">
        <v>4754</v>
      </c>
    </row>
    <row r="1158" spans="1:9" x14ac:dyDescent="0.25">
      <c r="A1158" s="8" t="s">
        <v>4731</v>
      </c>
      <c r="B1158" s="8">
        <v>6</v>
      </c>
      <c r="C1158" s="8" t="s">
        <v>4737</v>
      </c>
      <c r="D1158" s="8" t="s">
        <v>4746</v>
      </c>
      <c r="E1158" s="8" t="s">
        <v>4755</v>
      </c>
    </row>
    <row r="1159" spans="1:9" x14ac:dyDescent="0.25">
      <c r="A1159" s="8" t="s">
        <v>4731</v>
      </c>
      <c r="B1159" s="8">
        <v>7</v>
      </c>
      <c r="C1159" s="8" t="s">
        <v>4738</v>
      </c>
      <c r="D1159" s="8" t="s">
        <v>4747</v>
      </c>
      <c r="E1159" s="8" t="s">
        <v>4756</v>
      </c>
    </row>
    <row r="1160" spans="1:9" x14ac:dyDescent="0.25">
      <c r="A1160" s="8" t="s">
        <v>4731</v>
      </c>
      <c r="B1160" s="8">
        <v>8</v>
      </c>
      <c r="C1160" s="8" t="s">
        <v>4739</v>
      </c>
      <c r="D1160" s="8" t="s">
        <v>4748</v>
      </c>
      <c r="E1160" s="8" t="s">
        <v>4757</v>
      </c>
    </row>
    <row r="1161" spans="1:9" x14ac:dyDescent="0.25">
      <c r="A1161" s="8" t="s">
        <v>4731</v>
      </c>
      <c r="B1161" s="8">
        <v>9</v>
      </c>
      <c r="C1161" s="8" t="s">
        <v>4740</v>
      </c>
      <c r="D1161" s="8" t="s">
        <v>4749</v>
      </c>
      <c r="E1161" s="8" t="s">
        <v>4758</v>
      </c>
    </row>
    <row r="1162" spans="1:9" x14ac:dyDescent="0.25">
      <c r="A1162" s="8" t="s">
        <v>4731</v>
      </c>
      <c r="B1162" s="8">
        <v>10</v>
      </c>
      <c r="C1162" s="8" t="s">
        <v>140</v>
      </c>
      <c r="D1162" s="8" t="s">
        <v>153</v>
      </c>
      <c r="E1162" s="8" t="s">
        <v>1158</v>
      </c>
    </row>
    <row r="1163" spans="1:9" ht="12" customHeight="1" x14ac:dyDescent="0.25">
      <c r="A1163" s="10"/>
      <c r="B1163" s="10"/>
      <c r="C1163" s="10"/>
      <c r="D1163" s="10"/>
      <c r="E1163" s="10"/>
      <c r="F1163" s="10"/>
      <c r="G1163" s="10"/>
      <c r="H1163" s="10"/>
      <c r="I1163" s="10"/>
    </row>
    <row r="1164" spans="1:9" x14ac:dyDescent="0.25">
      <c r="A1164" s="8" t="s">
        <v>4763</v>
      </c>
      <c r="B1164" s="8">
        <v>1</v>
      </c>
      <c r="C1164" s="8" t="s">
        <v>4764</v>
      </c>
      <c r="D1164" s="8" t="s">
        <v>4768</v>
      </c>
      <c r="E1164" s="8" t="s">
        <v>4771</v>
      </c>
    </row>
    <row r="1165" spans="1:9" x14ac:dyDescent="0.25">
      <c r="A1165" s="8" t="s">
        <v>4763</v>
      </c>
      <c r="B1165" s="8">
        <v>2</v>
      </c>
      <c r="C1165" s="8" t="s">
        <v>4765</v>
      </c>
      <c r="D1165" s="8" t="s">
        <v>4769</v>
      </c>
      <c r="E1165" s="8" t="s">
        <v>4772</v>
      </c>
    </row>
    <row r="1166" spans="1:9" x14ac:dyDescent="0.25">
      <c r="A1166" s="8" t="s">
        <v>4763</v>
      </c>
      <c r="B1166" s="8">
        <v>3</v>
      </c>
      <c r="C1166" s="8" t="s">
        <v>4766</v>
      </c>
      <c r="D1166" s="8" t="s">
        <v>4770</v>
      </c>
      <c r="E1166" s="8" t="s">
        <v>4773</v>
      </c>
    </row>
    <row r="1167" spans="1:9" x14ac:dyDescent="0.25">
      <c r="A1167" s="8" t="s">
        <v>4763</v>
      </c>
      <c r="B1167" s="8">
        <v>4</v>
      </c>
      <c r="C1167" s="8" t="s">
        <v>4767</v>
      </c>
      <c r="D1167" s="8" t="s">
        <v>952</v>
      </c>
      <c r="E1167" s="8" t="s">
        <v>1816</v>
      </c>
    </row>
    <row r="1168" spans="1:9" ht="12" customHeight="1" x14ac:dyDescent="0.25">
      <c r="A1168" s="10"/>
      <c r="B1168" s="10"/>
      <c r="C1168" s="10"/>
      <c r="D1168" s="10"/>
      <c r="E1168" s="10"/>
      <c r="F1168" s="10"/>
      <c r="G1168" s="10"/>
      <c r="H1168" s="10"/>
      <c r="I1168" s="10"/>
    </row>
    <row r="1169" spans="1:9" x14ac:dyDescent="0.25">
      <c r="A1169" s="8" t="s">
        <v>4792</v>
      </c>
      <c r="B1169" s="8">
        <v>1</v>
      </c>
      <c r="C1169" s="8" t="s">
        <v>4793</v>
      </c>
      <c r="D1169" s="8" t="s">
        <v>4797</v>
      </c>
      <c r="E1169" s="8" t="s">
        <v>4802</v>
      </c>
    </row>
    <row r="1170" spans="1:9" x14ac:dyDescent="0.25">
      <c r="A1170" s="8" t="s">
        <v>4792</v>
      </c>
      <c r="B1170" s="8">
        <v>2</v>
      </c>
      <c r="C1170" s="8" t="s">
        <v>634</v>
      </c>
      <c r="D1170" s="8" t="s">
        <v>638</v>
      </c>
      <c r="E1170" s="8" t="s">
        <v>638</v>
      </c>
    </row>
    <row r="1171" spans="1:9" x14ac:dyDescent="0.25">
      <c r="A1171" s="8" t="s">
        <v>4792</v>
      </c>
      <c r="B1171" s="8">
        <v>3</v>
      </c>
      <c r="C1171" s="8" t="s">
        <v>4794</v>
      </c>
      <c r="D1171" s="8" t="s">
        <v>4798</v>
      </c>
      <c r="E1171" s="8" t="s">
        <v>4803</v>
      </c>
    </row>
    <row r="1172" spans="1:9" x14ac:dyDescent="0.25">
      <c r="A1172" s="8" t="s">
        <v>4792</v>
      </c>
      <c r="B1172" s="8">
        <v>4</v>
      </c>
      <c r="C1172" s="8" t="s">
        <v>635</v>
      </c>
      <c r="D1172" s="8" t="s">
        <v>4799</v>
      </c>
      <c r="E1172" s="8" t="s">
        <v>4804</v>
      </c>
    </row>
    <row r="1173" spans="1:9" x14ac:dyDescent="0.25">
      <c r="A1173" s="8" t="s">
        <v>4792</v>
      </c>
      <c r="B1173" s="8">
        <v>5</v>
      </c>
      <c r="C1173" s="8" t="s">
        <v>4795</v>
      </c>
      <c r="D1173" s="8" t="s">
        <v>4800</v>
      </c>
      <c r="E1173" s="8" t="s">
        <v>4805</v>
      </c>
    </row>
    <row r="1174" spans="1:9" x14ac:dyDescent="0.25">
      <c r="A1174" s="8" t="s">
        <v>4792</v>
      </c>
      <c r="B1174" s="8">
        <v>6</v>
      </c>
      <c r="C1174" s="8" t="s">
        <v>4796</v>
      </c>
      <c r="D1174" s="8" t="s">
        <v>4801</v>
      </c>
      <c r="E1174" s="8" t="s">
        <v>4806</v>
      </c>
    </row>
    <row r="1175" spans="1:9" ht="12" customHeight="1" x14ac:dyDescent="0.25">
      <c r="A1175" s="10"/>
      <c r="B1175" s="10"/>
      <c r="C1175" s="10"/>
      <c r="D1175" s="10"/>
      <c r="E1175" s="10"/>
      <c r="F1175" s="10"/>
      <c r="G1175" s="10"/>
      <c r="H1175" s="10"/>
      <c r="I1175" s="10"/>
    </row>
    <row r="1176" spans="1:9" x14ac:dyDescent="0.25">
      <c r="A1176" s="8" t="s">
        <v>4812</v>
      </c>
      <c r="B1176" s="8">
        <v>1</v>
      </c>
      <c r="C1176" s="8" t="s">
        <v>4813</v>
      </c>
      <c r="D1176" s="8" t="s">
        <v>4817</v>
      </c>
      <c r="E1176" s="8" t="s">
        <v>4821</v>
      </c>
    </row>
    <row r="1177" spans="1:9" x14ac:dyDescent="0.25">
      <c r="A1177" s="8" t="s">
        <v>4812</v>
      </c>
      <c r="B1177" s="8">
        <v>2</v>
      </c>
      <c r="C1177" s="8" t="s">
        <v>4814</v>
      </c>
      <c r="D1177" s="8" t="s">
        <v>4818</v>
      </c>
      <c r="E1177" s="8" t="s">
        <v>4822</v>
      </c>
    </row>
    <row r="1178" spans="1:9" x14ac:dyDescent="0.25">
      <c r="A1178" s="8" t="s">
        <v>4812</v>
      </c>
      <c r="B1178" s="8">
        <v>3</v>
      </c>
      <c r="C1178" s="8" t="s">
        <v>4815</v>
      </c>
      <c r="D1178" s="8" t="s">
        <v>4819</v>
      </c>
      <c r="E1178" s="8" t="s">
        <v>4823</v>
      </c>
    </row>
    <row r="1179" spans="1:9" x14ac:dyDescent="0.25">
      <c r="A1179" s="8" t="s">
        <v>4812</v>
      </c>
      <c r="B1179" s="8">
        <v>4</v>
      </c>
      <c r="C1179" s="8" t="s">
        <v>4816</v>
      </c>
      <c r="D1179" s="8" t="s">
        <v>4820</v>
      </c>
      <c r="E1179" s="8" t="s">
        <v>4824</v>
      </c>
    </row>
    <row r="1180" spans="1:9" ht="12" customHeight="1" x14ac:dyDescent="0.25">
      <c r="A1180" s="10"/>
      <c r="B1180" s="10"/>
      <c r="C1180" s="10"/>
      <c r="D1180" s="10"/>
      <c r="E1180" s="10"/>
      <c r="F1180" s="10"/>
      <c r="G1180" s="10"/>
      <c r="H1180" s="10"/>
      <c r="I1180" s="10"/>
    </row>
    <row r="1181" spans="1:9" x14ac:dyDescent="0.25">
      <c r="A1181" s="8" t="s">
        <v>4830</v>
      </c>
      <c r="B1181" s="8">
        <v>1</v>
      </c>
      <c r="C1181" s="8" t="s">
        <v>4831</v>
      </c>
      <c r="D1181" s="8" t="s">
        <v>4835</v>
      </c>
      <c r="E1181" s="8" t="s">
        <v>4839</v>
      </c>
    </row>
    <row r="1182" spans="1:9" x14ac:dyDescent="0.25">
      <c r="A1182" s="8" t="s">
        <v>4830</v>
      </c>
      <c r="B1182" s="8">
        <v>2</v>
      </c>
      <c r="C1182" s="8" t="s">
        <v>4832</v>
      </c>
      <c r="D1182" s="8" t="s">
        <v>4836</v>
      </c>
      <c r="E1182" s="8" t="s">
        <v>4840</v>
      </c>
    </row>
    <row r="1183" spans="1:9" x14ac:dyDescent="0.25">
      <c r="A1183" s="8" t="s">
        <v>4830</v>
      </c>
      <c r="B1183" s="8">
        <v>3</v>
      </c>
      <c r="C1183" s="8" t="s">
        <v>4833</v>
      </c>
      <c r="D1183" s="8" t="s">
        <v>4837</v>
      </c>
      <c r="E1183" s="8" t="s">
        <v>4841</v>
      </c>
    </row>
    <row r="1184" spans="1:9" x14ac:dyDescent="0.25">
      <c r="A1184" s="8" t="s">
        <v>4830</v>
      </c>
      <c r="B1184" s="8">
        <v>4</v>
      </c>
      <c r="C1184" s="8" t="s">
        <v>4834</v>
      </c>
      <c r="D1184" s="8" t="s">
        <v>4838</v>
      </c>
      <c r="E1184" s="8" t="s">
        <v>4842</v>
      </c>
    </row>
    <row r="1185" spans="1:9" x14ac:dyDescent="0.25">
      <c r="A1185" s="8" t="s">
        <v>4830</v>
      </c>
      <c r="B1185" s="8">
        <v>5</v>
      </c>
      <c r="C1185" s="8" t="s">
        <v>140</v>
      </c>
      <c r="D1185" s="8" t="s">
        <v>2349</v>
      </c>
      <c r="E1185" s="8" t="s">
        <v>1158</v>
      </c>
    </row>
    <row r="1186" spans="1:9" ht="12" customHeight="1" x14ac:dyDescent="0.25">
      <c r="A1186" s="10"/>
      <c r="B1186" s="10"/>
      <c r="C1186" s="10"/>
      <c r="D1186" s="10"/>
      <c r="E1186" s="10"/>
      <c r="F1186" s="10"/>
      <c r="G1186" s="10"/>
      <c r="H1186" s="10"/>
      <c r="I1186" s="10"/>
    </row>
    <row r="1187" spans="1:9" x14ac:dyDescent="0.25">
      <c r="A1187" s="8" t="s">
        <v>4987</v>
      </c>
      <c r="B1187" s="8">
        <v>1</v>
      </c>
      <c r="C1187" s="8" t="s">
        <v>822</v>
      </c>
      <c r="D1187" s="8" t="s">
        <v>4991</v>
      </c>
      <c r="E1187" s="8" t="s">
        <v>4995</v>
      </c>
    </row>
    <row r="1188" spans="1:9" x14ac:dyDescent="0.25">
      <c r="A1188" s="8" t="s">
        <v>4987</v>
      </c>
      <c r="B1188" s="8">
        <v>2</v>
      </c>
      <c r="C1188" s="8" t="s">
        <v>4988</v>
      </c>
      <c r="D1188" s="8" t="s">
        <v>4992</v>
      </c>
      <c r="E1188" s="8" t="s">
        <v>4996</v>
      </c>
    </row>
    <row r="1189" spans="1:9" x14ac:dyDescent="0.25">
      <c r="A1189" s="8" t="s">
        <v>4987</v>
      </c>
      <c r="B1189" s="8">
        <v>3</v>
      </c>
      <c r="C1189" s="8" t="s">
        <v>4989</v>
      </c>
      <c r="D1189" s="8" t="s">
        <v>4993</v>
      </c>
      <c r="E1189" s="8" t="s">
        <v>4997</v>
      </c>
    </row>
    <row r="1190" spans="1:9" x14ac:dyDescent="0.25">
      <c r="A1190" s="8" t="s">
        <v>4987</v>
      </c>
      <c r="B1190" s="8">
        <v>4</v>
      </c>
      <c r="C1190" s="8" t="s">
        <v>4990</v>
      </c>
      <c r="D1190" s="8" t="s">
        <v>4994</v>
      </c>
      <c r="E1190" s="8" t="s">
        <v>4998</v>
      </c>
    </row>
    <row r="1191" spans="1:9" x14ac:dyDescent="0.25">
      <c r="A1191" s="8" t="s">
        <v>4987</v>
      </c>
      <c r="B1191" s="8">
        <v>5</v>
      </c>
      <c r="C1191" s="8" t="s">
        <v>4518</v>
      </c>
      <c r="D1191" s="8" t="s">
        <v>86</v>
      </c>
      <c r="E1191" s="8" t="s">
        <v>1191</v>
      </c>
    </row>
    <row r="1192" spans="1:9" ht="12" customHeight="1" x14ac:dyDescent="0.25">
      <c r="A1192" s="10"/>
      <c r="B1192" s="10"/>
      <c r="C1192" s="10"/>
      <c r="D1192" s="10"/>
      <c r="E1192" s="10"/>
      <c r="F1192" s="10"/>
      <c r="G1192" s="10"/>
      <c r="H1192" s="10"/>
      <c r="I1192" s="10"/>
    </row>
    <row r="1193" spans="1:9" x14ac:dyDescent="0.25">
      <c r="A1193" s="8" t="s">
        <v>5011</v>
      </c>
      <c r="B1193" s="8">
        <v>1</v>
      </c>
      <c r="C1193" s="8" t="s">
        <v>709</v>
      </c>
      <c r="D1193" s="8" t="s">
        <v>141</v>
      </c>
      <c r="E1193" s="8" t="s">
        <v>1331</v>
      </c>
    </row>
    <row r="1194" spans="1:9" x14ac:dyDescent="0.25">
      <c r="A1194" s="8" t="s">
        <v>5011</v>
      </c>
      <c r="B1194" s="8">
        <v>2</v>
      </c>
      <c r="C1194" s="8" t="s">
        <v>142</v>
      </c>
      <c r="D1194" s="8" t="s">
        <v>143</v>
      </c>
      <c r="E1194" s="8" t="s">
        <v>1332</v>
      </c>
    </row>
    <row r="1195" spans="1:9" x14ac:dyDescent="0.25">
      <c r="A1195" s="8" t="s">
        <v>5011</v>
      </c>
      <c r="B1195" s="8">
        <v>3</v>
      </c>
      <c r="C1195" s="8" t="s">
        <v>836</v>
      </c>
      <c r="D1195" s="8" t="s">
        <v>5008</v>
      </c>
      <c r="E1195" s="8" t="s">
        <v>5010</v>
      </c>
    </row>
    <row r="1196" spans="1:9" x14ac:dyDescent="0.25">
      <c r="A1196" s="8" t="s">
        <v>5011</v>
      </c>
      <c r="B1196" s="8">
        <v>4</v>
      </c>
      <c r="C1196" s="8" t="s">
        <v>144</v>
      </c>
      <c r="D1196" s="8" t="s">
        <v>5009</v>
      </c>
      <c r="E1196" s="8" t="s">
        <v>1333</v>
      </c>
    </row>
    <row r="1197" spans="1:9" x14ac:dyDescent="0.25">
      <c r="A1197" s="8" t="s">
        <v>5011</v>
      </c>
      <c r="B1197" s="8">
        <v>5</v>
      </c>
      <c r="C1197" s="8" t="s">
        <v>710</v>
      </c>
      <c r="D1197" s="8" t="s">
        <v>146</v>
      </c>
      <c r="E1197" s="8" t="s">
        <v>1334</v>
      </c>
    </row>
    <row r="1198" spans="1:9" ht="12" customHeight="1" x14ac:dyDescent="0.25">
      <c r="A1198" s="10"/>
      <c r="B1198" s="10"/>
      <c r="C1198" s="10"/>
      <c r="D1198" s="10"/>
      <c r="E1198" s="10"/>
      <c r="F1198" s="10"/>
      <c r="G1198" s="10"/>
      <c r="H1198" s="10"/>
      <c r="I1198" s="10"/>
    </row>
    <row r="1199" spans="1:9" x14ac:dyDescent="0.25">
      <c r="A1199" s="8" t="s">
        <v>5046</v>
      </c>
      <c r="B1199" s="8">
        <v>1</v>
      </c>
      <c r="C1199" s="8" t="s">
        <v>5024</v>
      </c>
      <c r="D1199" s="8" t="s">
        <v>5032</v>
      </c>
      <c r="E1199" s="8" t="s">
        <v>5039</v>
      </c>
    </row>
    <row r="1200" spans="1:9" x14ac:dyDescent="0.25">
      <c r="A1200" s="8" t="s">
        <v>5046</v>
      </c>
      <c r="B1200" s="8">
        <v>2</v>
      </c>
      <c r="C1200" s="8" t="s">
        <v>5025</v>
      </c>
      <c r="D1200" s="8" t="s">
        <v>5033</v>
      </c>
      <c r="E1200" s="8" t="s">
        <v>5040</v>
      </c>
    </row>
    <row r="1201" spans="1:9" x14ac:dyDescent="0.25">
      <c r="A1201" s="8" t="s">
        <v>5046</v>
      </c>
      <c r="B1201" s="8">
        <v>3</v>
      </c>
      <c r="C1201" s="8" t="s">
        <v>5026</v>
      </c>
      <c r="D1201" s="8" t="s">
        <v>5034</v>
      </c>
      <c r="E1201" s="8" t="s">
        <v>5041</v>
      </c>
    </row>
    <row r="1202" spans="1:9" x14ac:dyDescent="0.25">
      <c r="A1202" s="8" t="s">
        <v>5046</v>
      </c>
      <c r="B1202" s="8">
        <v>4</v>
      </c>
      <c r="C1202" s="8" t="s">
        <v>5027</v>
      </c>
      <c r="D1202" s="8" t="s">
        <v>5035</v>
      </c>
      <c r="E1202" s="8" t="s">
        <v>5042</v>
      </c>
    </row>
    <row r="1203" spans="1:9" x14ac:dyDescent="0.25">
      <c r="A1203" s="8" t="s">
        <v>5046</v>
      </c>
      <c r="B1203" s="8">
        <v>5</v>
      </c>
      <c r="C1203" s="8" t="s">
        <v>5028</v>
      </c>
      <c r="D1203" s="8" t="s">
        <v>5036</v>
      </c>
      <c r="E1203" s="8" t="s">
        <v>5043</v>
      </c>
    </row>
    <row r="1204" spans="1:9" x14ac:dyDescent="0.25">
      <c r="A1204" s="8" t="s">
        <v>5046</v>
      </c>
      <c r="B1204" s="8">
        <v>6</v>
      </c>
      <c r="C1204" s="8" t="s">
        <v>5029</v>
      </c>
      <c r="D1204" s="8" t="s">
        <v>5037</v>
      </c>
      <c r="E1204" s="8" t="s">
        <v>5044</v>
      </c>
    </row>
    <row r="1205" spans="1:9" x14ac:dyDescent="0.25">
      <c r="A1205" s="8" t="s">
        <v>5046</v>
      </c>
      <c r="B1205" s="8">
        <v>7</v>
      </c>
      <c r="C1205" s="8" t="s">
        <v>5030</v>
      </c>
      <c r="D1205" s="8" t="s">
        <v>5038</v>
      </c>
      <c r="E1205" s="8" t="s">
        <v>5045</v>
      </c>
    </row>
    <row r="1206" spans="1:9" x14ac:dyDescent="0.25">
      <c r="A1206" s="8" t="s">
        <v>5046</v>
      </c>
      <c r="B1206" s="8">
        <v>96</v>
      </c>
      <c r="C1206" s="8" t="s">
        <v>5031</v>
      </c>
      <c r="D1206" s="8" t="s">
        <v>952</v>
      </c>
      <c r="E1206" s="8" t="s">
        <v>1816</v>
      </c>
    </row>
    <row r="1207" spans="1:9" ht="12" customHeight="1" x14ac:dyDescent="0.25">
      <c r="A1207" s="10"/>
      <c r="B1207" s="10"/>
      <c r="C1207" s="10"/>
      <c r="D1207" s="10"/>
      <c r="E1207" s="10"/>
      <c r="F1207" s="10"/>
      <c r="G1207" s="10"/>
      <c r="H1207" s="10"/>
      <c r="I1207" s="10"/>
    </row>
    <row r="1208" spans="1:9" x14ac:dyDescent="0.25">
      <c r="A1208" s="8" t="s">
        <v>5052</v>
      </c>
      <c r="B1208" s="8">
        <v>1</v>
      </c>
      <c r="C1208" s="8" t="s">
        <v>5091</v>
      </c>
      <c r="D1208" s="8" t="s">
        <v>5096</v>
      </c>
      <c r="E1208" s="8" t="s">
        <v>5101</v>
      </c>
    </row>
    <row r="1209" spans="1:9" x14ac:dyDescent="0.25">
      <c r="A1209" s="8" t="s">
        <v>5052</v>
      </c>
      <c r="B1209" s="8">
        <v>2</v>
      </c>
      <c r="C1209" s="8" t="s">
        <v>5092</v>
      </c>
      <c r="D1209" s="8" t="s">
        <v>5097</v>
      </c>
      <c r="E1209" s="8" t="s">
        <v>5102</v>
      </c>
    </row>
    <row r="1210" spans="1:9" x14ac:dyDescent="0.25">
      <c r="A1210" s="8" t="s">
        <v>5052</v>
      </c>
      <c r="B1210" s="8">
        <v>3</v>
      </c>
      <c r="C1210" s="8" t="s">
        <v>5093</v>
      </c>
      <c r="D1210" s="8" t="s">
        <v>5098</v>
      </c>
      <c r="E1210" s="8" t="s">
        <v>5103</v>
      </c>
    </row>
    <row r="1211" spans="1:9" x14ac:dyDescent="0.25">
      <c r="A1211" s="8" t="s">
        <v>5052</v>
      </c>
      <c r="B1211" s="8">
        <v>4</v>
      </c>
      <c r="C1211" s="8" t="s">
        <v>5094</v>
      </c>
      <c r="D1211" s="8" t="s">
        <v>5099</v>
      </c>
      <c r="E1211" s="8" t="s">
        <v>5104</v>
      </c>
    </row>
    <row r="1212" spans="1:9" x14ac:dyDescent="0.25">
      <c r="A1212" s="8" t="s">
        <v>5052</v>
      </c>
      <c r="B1212" s="8">
        <v>5</v>
      </c>
      <c r="C1212" s="8" t="s">
        <v>5027</v>
      </c>
      <c r="D1212" s="8" t="s">
        <v>5035</v>
      </c>
      <c r="E1212" s="8" t="s">
        <v>5042</v>
      </c>
    </row>
    <row r="1213" spans="1:9" x14ac:dyDescent="0.25">
      <c r="A1213" s="8" t="s">
        <v>5052</v>
      </c>
      <c r="B1213" s="8">
        <v>6</v>
      </c>
      <c r="C1213" s="8" t="s">
        <v>5095</v>
      </c>
      <c r="D1213" s="8" t="s">
        <v>5100</v>
      </c>
      <c r="E1213" s="8" t="s">
        <v>5105</v>
      </c>
    </row>
    <row r="1214" spans="1:9" x14ac:dyDescent="0.25">
      <c r="A1214" s="8" t="s">
        <v>5052</v>
      </c>
      <c r="B1214" s="8">
        <v>7</v>
      </c>
      <c r="C1214" s="8" t="s">
        <v>5029</v>
      </c>
      <c r="D1214" s="8" t="s">
        <v>5037</v>
      </c>
      <c r="E1214" s="8" t="s">
        <v>5044</v>
      </c>
    </row>
    <row r="1215" spans="1:9" x14ac:dyDescent="0.25">
      <c r="A1215" s="8" t="s">
        <v>5052</v>
      </c>
      <c r="B1215" s="8">
        <v>8</v>
      </c>
      <c r="C1215" s="8" t="s">
        <v>5030</v>
      </c>
      <c r="D1215" s="8" t="s">
        <v>5038</v>
      </c>
      <c r="E1215" s="8" t="s">
        <v>5045</v>
      </c>
    </row>
    <row r="1216" spans="1:9" x14ac:dyDescent="0.25">
      <c r="A1216" s="8" t="s">
        <v>5052</v>
      </c>
      <c r="B1216" s="8">
        <v>96</v>
      </c>
      <c r="C1216" s="8" t="s">
        <v>5031</v>
      </c>
      <c r="D1216" s="8" t="s">
        <v>952</v>
      </c>
      <c r="E1216" s="8" t="s">
        <v>1816</v>
      </c>
    </row>
    <row r="1217" spans="1:9" s="148" customFormat="1" x14ac:dyDescent="0.25">
      <c r="A1217" s="147"/>
      <c r="B1217" s="147"/>
      <c r="C1217" s="147"/>
      <c r="D1217" s="147"/>
      <c r="E1217" s="147"/>
      <c r="F1217" s="147"/>
      <c r="G1217" s="147"/>
      <c r="H1217" s="147"/>
      <c r="I1217" s="147"/>
    </row>
    <row r="1218" spans="1:9" x14ac:dyDescent="0.25">
      <c r="A1218" s="7" t="s">
        <v>5633</v>
      </c>
      <c r="B1218" s="8">
        <v>1</v>
      </c>
      <c r="C1218" s="8" t="s">
        <v>5216</v>
      </c>
      <c r="D1218" s="8" t="s">
        <v>5221</v>
      </c>
      <c r="E1218" s="8" t="s">
        <v>5226</v>
      </c>
    </row>
    <row r="1219" spans="1:9" x14ac:dyDescent="0.25">
      <c r="A1219" s="7" t="s">
        <v>5633</v>
      </c>
      <c r="B1219" s="8">
        <v>2</v>
      </c>
      <c r="C1219" s="8" t="s">
        <v>5217</v>
      </c>
      <c r="D1219" s="8" t="s">
        <v>5222</v>
      </c>
      <c r="E1219" s="8" t="s">
        <v>5227</v>
      </c>
    </row>
    <row r="1220" spans="1:9" x14ac:dyDescent="0.25">
      <c r="A1220" s="7" t="s">
        <v>5633</v>
      </c>
      <c r="B1220" s="8">
        <v>3</v>
      </c>
      <c r="C1220" s="8" t="s">
        <v>5218</v>
      </c>
      <c r="D1220" s="8" t="s">
        <v>5223</v>
      </c>
      <c r="E1220" s="8" t="s">
        <v>5228</v>
      </c>
    </row>
    <row r="1221" spans="1:9" x14ac:dyDescent="0.25">
      <c r="A1221" s="7" t="s">
        <v>5633</v>
      </c>
      <c r="B1221" s="8">
        <v>4</v>
      </c>
      <c r="C1221" s="8" t="s">
        <v>5219</v>
      </c>
      <c r="D1221" s="8" t="s">
        <v>5224</v>
      </c>
      <c r="E1221" s="8" t="s">
        <v>5229</v>
      </c>
    </row>
    <row r="1222" spans="1:9" x14ac:dyDescent="0.25">
      <c r="A1222" s="7" t="s">
        <v>5633</v>
      </c>
      <c r="B1222" s="8">
        <v>5</v>
      </c>
      <c r="C1222" s="8" t="s">
        <v>5220</v>
      </c>
      <c r="D1222" s="8" t="s">
        <v>5225</v>
      </c>
      <c r="E1222" s="8" t="s">
        <v>5230</v>
      </c>
    </row>
    <row r="1223" spans="1:9" x14ac:dyDescent="0.25">
      <c r="A1223" s="7" t="s">
        <v>5633</v>
      </c>
      <c r="B1223" s="8">
        <v>6</v>
      </c>
      <c r="C1223" s="8" t="s">
        <v>4518</v>
      </c>
      <c r="D1223" s="8" t="s">
        <v>86</v>
      </c>
      <c r="E1223" s="8" t="s">
        <v>1191</v>
      </c>
    </row>
    <row r="1224" spans="1:9" s="148" customFormat="1" x14ac:dyDescent="0.25">
      <c r="A1224" s="147"/>
      <c r="B1224" s="147"/>
      <c r="C1224" s="147"/>
      <c r="D1224" s="147"/>
      <c r="E1224" s="147"/>
      <c r="F1224" s="147"/>
      <c r="G1224" s="147"/>
      <c r="H1224" s="147"/>
      <c r="I1224" s="147"/>
    </row>
    <row r="1225" spans="1:9" x14ac:dyDescent="0.25">
      <c r="A1225" s="7" t="s">
        <v>5634</v>
      </c>
      <c r="B1225" s="8">
        <v>1</v>
      </c>
      <c r="C1225" s="8" t="s">
        <v>5216</v>
      </c>
      <c r="D1225" s="8" t="s">
        <v>5221</v>
      </c>
      <c r="E1225" s="8" t="s">
        <v>5226</v>
      </c>
    </row>
    <row r="1226" spans="1:9" x14ac:dyDescent="0.25">
      <c r="A1226" s="7" t="s">
        <v>5634</v>
      </c>
      <c r="B1226" s="8">
        <v>2</v>
      </c>
      <c r="C1226" s="8" t="s">
        <v>5217</v>
      </c>
      <c r="D1226" s="8" t="s">
        <v>5222</v>
      </c>
      <c r="E1226" s="8" t="s">
        <v>5227</v>
      </c>
    </row>
    <row r="1227" spans="1:9" x14ac:dyDescent="0.25">
      <c r="A1227" s="7" t="s">
        <v>5634</v>
      </c>
      <c r="B1227" s="8">
        <v>3</v>
      </c>
      <c r="C1227" s="8" t="s">
        <v>5218</v>
      </c>
      <c r="D1227" s="8" t="s">
        <v>5223</v>
      </c>
      <c r="E1227" s="8" t="s">
        <v>5228</v>
      </c>
    </row>
    <row r="1228" spans="1:9" x14ac:dyDescent="0.25">
      <c r="A1228" s="7" t="s">
        <v>5634</v>
      </c>
      <c r="B1228" s="8">
        <v>4</v>
      </c>
      <c r="C1228" s="8" t="s">
        <v>5219</v>
      </c>
      <c r="D1228" s="8" t="s">
        <v>5224</v>
      </c>
      <c r="E1228" s="8" t="s">
        <v>5229</v>
      </c>
    </row>
    <row r="1229" spans="1:9" x14ac:dyDescent="0.25">
      <c r="A1229" s="7" t="s">
        <v>5634</v>
      </c>
      <c r="B1229" s="8">
        <v>5</v>
      </c>
      <c r="C1229" s="8" t="s">
        <v>5220</v>
      </c>
      <c r="D1229" s="8" t="s">
        <v>5225</v>
      </c>
      <c r="E1229" s="8" t="s">
        <v>5230</v>
      </c>
    </row>
    <row r="1230" spans="1:9" x14ac:dyDescent="0.25">
      <c r="A1230" s="7" t="s">
        <v>5634</v>
      </c>
      <c r="B1230" s="8">
        <v>6</v>
      </c>
      <c r="C1230" s="8" t="s">
        <v>4518</v>
      </c>
      <c r="D1230" s="8" t="s">
        <v>86</v>
      </c>
      <c r="E1230" s="8" t="s">
        <v>1191</v>
      </c>
    </row>
    <row r="1231" spans="1:9" s="148" customFormat="1" x14ac:dyDescent="0.25">
      <c r="A1231" s="147"/>
      <c r="B1231" s="147"/>
      <c r="C1231" s="147"/>
      <c r="D1231" s="147"/>
      <c r="E1231" s="147"/>
      <c r="F1231" s="147"/>
      <c r="G1231" s="147"/>
      <c r="H1231" s="147"/>
      <c r="I1231" s="147"/>
    </row>
    <row r="1232" spans="1:9" x14ac:dyDescent="0.25">
      <c r="A1232" s="7" t="s">
        <v>5635</v>
      </c>
      <c r="B1232" s="8">
        <v>1</v>
      </c>
      <c r="C1232" s="8" t="s">
        <v>5231</v>
      </c>
      <c r="D1232" s="8" t="s">
        <v>5237</v>
      </c>
      <c r="E1232" s="8" t="s">
        <v>5244</v>
      </c>
    </row>
    <row r="1233" spans="1:9" x14ac:dyDescent="0.25">
      <c r="A1233" s="7" t="s">
        <v>5635</v>
      </c>
      <c r="B1233" s="8">
        <v>2</v>
      </c>
      <c r="C1233" s="8" t="s">
        <v>3509</v>
      </c>
      <c r="D1233" s="8" t="s">
        <v>5238</v>
      </c>
      <c r="E1233" s="8" t="s">
        <v>5245</v>
      </c>
    </row>
    <row r="1234" spans="1:9" x14ac:dyDescent="0.25">
      <c r="A1234" s="7" t="s">
        <v>5635</v>
      </c>
      <c r="B1234" s="8">
        <v>3</v>
      </c>
      <c r="C1234" s="8" t="s">
        <v>5232</v>
      </c>
      <c r="D1234" s="8" t="s">
        <v>5239</v>
      </c>
      <c r="E1234" s="8" t="s">
        <v>5246</v>
      </c>
    </row>
    <row r="1235" spans="1:9" x14ac:dyDescent="0.25">
      <c r="A1235" s="7" t="s">
        <v>5635</v>
      </c>
      <c r="B1235" s="8">
        <v>4</v>
      </c>
      <c r="C1235" s="8" t="s">
        <v>5233</v>
      </c>
      <c r="D1235" s="8" t="s">
        <v>5240</v>
      </c>
      <c r="E1235" s="8" t="s">
        <v>5247</v>
      </c>
    </row>
    <row r="1236" spans="1:9" x14ac:dyDescent="0.25">
      <c r="A1236" s="7" t="s">
        <v>5635</v>
      </c>
      <c r="B1236" s="8">
        <v>5</v>
      </c>
      <c r="C1236" s="8" t="s">
        <v>5234</v>
      </c>
      <c r="D1236" s="8" t="s">
        <v>5241</v>
      </c>
      <c r="E1236" s="8" t="s">
        <v>5248</v>
      </c>
    </row>
    <row r="1237" spans="1:9" x14ac:dyDescent="0.25">
      <c r="A1237" s="7" t="s">
        <v>5635</v>
      </c>
      <c r="B1237" s="8">
        <v>6</v>
      </c>
      <c r="C1237" s="8" t="s">
        <v>5235</v>
      </c>
      <c r="D1237" s="8" t="s">
        <v>5242</v>
      </c>
      <c r="E1237" s="8" t="s">
        <v>5249</v>
      </c>
    </row>
    <row r="1238" spans="1:9" x14ac:dyDescent="0.25">
      <c r="A1238" s="7" t="s">
        <v>5635</v>
      </c>
      <c r="B1238" s="8">
        <v>7</v>
      </c>
      <c r="C1238" s="8" t="s">
        <v>5236</v>
      </c>
      <c r="D1238" s="8" t="s">
        <v>5243</v>
      </c>
      <c r="E1238" s="8" t="s">
        <v>5250</v>
      </c>
    </row>
    <row r="1239" spans="1:9" x14ac:dyDescent="0.25">
      <c r="A1239" s="7" t="s">
        <v>5635</v>
      </c>
      <c r="B1239" s="8">
        <v>98</v>
      </c>
      <c r="C1239" s="8" t="s">
        <v>4518</v>
      </c>
      <c r="D1239" s="8" t="s">
        <v>86</v>
      </c>
      <c r="E1239" s="8" t="s">
        <v>3863</v>
      </c>
    </row>
    <row r="1240" spans="1:9" s="148" customFormat="1" x14ac:dyDescent="0.25">
      <c r="A1240" s="147"/>
      <c r="B1240" s="147"/>
      <c r="C1240" s="147"/>
      <c r="D1240" s="147"/>
      <c r="E1240" s="147"/>
      <c r="F1240" s="147"/>
      <c r="G1240" s="147"/>
      <c r="H1240" s="147"/>
      <c r="I1240" s="147"/>
    </row>
    <row r="1241" spans="1:9" x14ac:dyDescent="0.25">
      <c r="A1241" s="7" t="s">
        <v>5647</v>
      </c>
      <c r="B1241" s="8">
        <v>1</v>
      </c>
      <c r="C1241" s="8" t="s">
        <v>5251</v>
      </c>
      <c r="D1241" s="8" t="s">
        <v>5261</v>
      </c>
      <c r="E1241" s="8" t="s">
        <v>5271</v>
      </c>
    </row>
    <row r="1242" spans="1:9" x14ac:dyDescent="0.25">
      <c r="A1242" s="7" t="s">
        <v>5647</v>
      </c>
      <c r="B1242" s="8">
        <v>2</v>
      </c>
      <c r="C1242" s="8" t="s">
        <v>5252</v>
      </c>
      <c r="D1242" s="8" t="s">
        <v>5262</v>
      </c>
      <c r="E1242" s="8" t="s">
        <v>5272</v>
      </c>
    </row>
    <row r="1243" spans="1:9" x14ac:dyDescent="0.25">
      <c r="A1243" s="7" t="s">
        <v>5647</v>
      </c>
      <c r="B1243" s="8">
        <v>3</v>
      </c>
      <c r="C1243" s="8" t="s">
        <v>5253</v>
      </c>
      <c r="D1243" s="8" t="s">
        <v>5263</v>
      </c>
      <c r="E1243" s="8" t="s">
        <v>5273</v>
      </c>
    </row>
    <row r="1244" spans="1:9" x14ac:dyDescent="0.25">
      <c r="A1244" s="7" t="s">
        <v>5647</v>
      </c>
      <c r="B1244" s="8">
        <v>4</v>
      </c>
      <c r="C1244" s="8" t="s">
        <v>5254</v>
      </c>
      <c r="D1244" s="8" t="s">
        <v>5264</v>
      </c>
      <c r="E1244" s="8" t="s">
        <v>5274</v>
      </c>
    </row>
    <row r="1245" spans="1:9" x14ac:dyDescent="0.25">
      <c r="A1245" s="7" t="s">
        <v>5647</v>
      </c>
      <c r="B1245" s="8">
        <v>5</v>
      </c>
      <c r="C1245" s="8" t="s">
        <v>5255</v>
      </c>
      <c r="D1245" s="8" t="s">
        <v>5265</v>
      </c>
      <c r="E1245" s="8" t="s">
        <v>5275</v>
      </c>
    </row>
    <row r="1246" spans="1:9" x14ac:dyDescent="0.25">
      <c r="A1246" s="7" t="s">
        <v>5647</v>
      </c>
      <c r="B1246" s="8">
        <v>6</v>
      </c>
      <c r="C1246" s="8" t="s">
        <v>5256</v>
      </c>
      <c r="D1246" s="8" t="s">
        <v>5266</v>
      </c>
      <c r="E1246" s="8" t="s">
        <v>5276</v>
      </c>
    </row>
    <row r="1247" spans="1:9" x14ac:dyDescent="0.25">
      <c r="A1247" s="7" t="s">
        <v>5647</v>
      </c>
      <c r="B1247" s="8">
        <v>7</v>
      </c>
      <c r="C1247" s="8" t="s">
        <v>5257</v>
      </c>
      <c r="D1247" s="8" t="s">
        <v>5267</v>
      </c>
      <c r="E1247" s="8" t="s">
        <v>5277</v>
      </c>
    </row>
    <row r="1248" spans="1:9" x14ac:dyDescent="0.25">
      <c r="A1248" s="7" t="s">
        <v>5647</v>
      </c>
      <c r="B1248" s="8">
        <v>8</v>
      </c>
      <c r="C1248" s="8" t="s">
        <v>5258</v>
      </c>
      <c r="D1248" s="8" t="s">
        <v>5268</v>
      </c>
      <c r="E1248" s="8" t="s">
        <v>5278</v>
      </c>
    </row>
    <row r="1249" spans="1:9" x14ac:dyDescent="0.25">
      <c r="A1249" s="7" t="s">
        <v>5647</v>
      </c>
      <c r="B1249" s="8">
        <v>9</v>
      </c>
      <c r="C1249" s="8" t="s">
        <v>5259</v>
      </c>
      <c r="D1249" s="8" t="s">
        <v>5269</v>
      </c>
      <c r="E1249" s="8" t="s">
        <v>5279</v>
      </c>
    </row>
    <row r="1250" spans="1:9" x14ac:dyDescent="0.25">
      <c r="A1250" s="7" t="s">
        <v>5647</v>
      </c>
      <c r="B1250" s="8">
        <v>10</v>
      </c>
      <c r="C1250" s="8" t="s">
        <v>5260</v>
      </c>
      <c r="D1250" s="8" t="s">
        <v>5270</v>
      </c>
      <c r="E1250" s="8" t="s">
        <v>5280</v>
      </c>
    </row>
    <row r="1251" spans="1:9" x14ac:dyDescent="0.25">
      <c r="A1251" s="7" t="s">
        <v>5647</v>
      </c>
      <c r="B1251" s="8">
        <v>96</v>
      </c>
      <c r="C1251" s="8" t="s">
        <v>3662</v>
      </c>
      <c r="D1251" s="8" t="s">
        <v>2008</v>
      </c>
      <c r="E1251" s="8" t="s">
        <v>1150</v>
      </c>
    </row>
    <row r="1252" spans="1:9" s="148" customFormat="1" x14ac:dyDescent="0.25">
      <c r="A1252" s="147"/>
      <c r="B1252" s="147"/>
      <c r="C1252" s="147"/>
      <c r="D1252" s="147"/>
      <c r="E1252" s="147"/>
      <c r="F1252" s="147"/>
      <c r="G1252" s="147"/>
      <c r="H1252" s="147"/>
      <c r="I1252" s="147"/>
    </row>
    <row r="1253" spans="1:9" x14ac:dyDescent="0.25">
      <c r="A1253" s="7" t="s">
        <v>5636</v>
      </c>
      <c r="B1253" s="8">
        <v>1</v>
      </c>
      <c r="C1253" s="8" t="s">
        <v>5281</v>
      </c>
      <c r="D1253" s="8" t="s">
        <v>5284</v>
      </c>
      <c r="E1253" s="8" t="s">
        <v>5286</v>
      </c>
    </row>
    <row r="1254" spans="1:9" x14ac:dyDescent="0.25">
      <c r="A1254" s="7" t="s">
        <v>5636</v>
      </c>
      <c r="B1254" s="8">
        <v>2</v>
      </c>
      <c r="C1254" s="8" t="s">
        <v>5282</v>
      </c>
      <c r="D1254" s="8" t="s">
        <v>5285</v>
      </c>
      <c r="E1254" s="8" t="s">
        <v>5287</v>
      </c>
    </row>
    <row r="1255" spans="1:9" x14ac:dyDescent="0.25">
      <c r="A1255" s="7" t="s">
        <v>5636</v>
      </c>
      <c r="B1255" s="8">
        <v>3</v>
      </c>
      <c r="C1255" s="8" t="s">
        <v>5283</v>
      </c>
      <c r="D1255" s="8" t="s">
        <v>3858</v>
      </c>
      <c r="E1255" s="8" t="s">
        <v>3863</v>
      </c>
    </row>
    <row r="1256" spans="1:9" s="148" customFormat="1" x14ac:dyDescent="0.25">
      <c r="A1256" s="147"/>
      <c r="B1256" s="147"/>
      <c r="C1256" s="147"/>
      <c r="D1256" s="147"/>
      <c r="E1256" s="147"/>
      <c r="F1256" s="147"/>
      <c r="G1256" s="147"/>
      <c r="H1256" s="147"/>
      <c r="I1256" s="147"/>
    </row>
    <row r="1257" spans="1:9" x14ac:dyDescent="0.25">
      <c r="A1257" s="7" t="s">
        <v>5648</v>
      </c>
      <c r="B1257" s="8">
        <v>1</v>
      </c>
      <c r="C1257" s="8" t="s">
        <v>5288</v>
      </c>
      <c r="D1257" s="8" t="s">
        <v>5298</v>
      </c>
      <c r="E1257" s="8" t="s">
        <v>5308</v>
      </c>
    </row>
    <row r="1258" spans="1:9" x14ac:dyDescent="0.25">
      <c r="A1258" s="7" t="s">
        <v>5648</v>
      </c>
      <c r="B1258" s="8">
        <v>2</v>
      </c>
      <c r="C1258" s="8" t="s">
        <v>5289</v>
      </c>
      <c r="D1258" s="8" t="s">
        <v>5299</v>
      </c>
      <c r="E1258" s="8" t="s">
        <v>5309</v>
      </c>
    </row>
    <row r="1259" spans="1:9" x14ac:dyDescent="0.25">
      <c r="A1259" s="7" t="s">
        <v>5648</v>
      </c>
      <c r="B1259" s="8">
        <v>3</v>
      </c>
      <c r="C1259" s="8" t="s">
        <v>5290</v>
      </c>
      <c r="D1259" s="8" t="s">
        <v>5300</v>
      </c>
      <c r="E1259" s="8" t="s">
        <v>5310</v>
      </c>
    </row>
    <row r="1260" spans="1:9" x14ac:dyDescent="0.25">
      <c r="A1260" s="7" t="s">
        <v>5648</v>
      </c>
      <c r="B1260" s="8">
        <v>4</v>
      </c>
      <c r="C1260" s="8" t="s">
        <v>5291</v>
      </c>
      <c r="D1260" s="8" t="s">
        <v>5301</v>
      </c>
      <c r="E1260" s="8" t="s">
        <v>5311</v>
      </c>
    </row>
    <row r="1261" spans="1:9" x14ac:dyDescent="0.25">
      <c r="A1261" s="7" t="s">
        <v>5648</v>
      </c>
      <c r="B1261" s="8">
        <v>5</v>
      </c>
      <c r="C1261" s="8" t="s">
        <v>5292</v>
      </c>
      <c r="D1261" s="8" t="s">
        <v>5302</v>
      </c>
      <c r="E1261" s="8" t="s">
        <v>5312</v>
      </c>
    </row>
    <row r="1262" spans="1:9" x14ac:dyDescent="0.25">
      <c r="A1262" s="7" t="s">
        <v>5648</v>
      </c>
      <c r="B1262" s="8">
        <v>6</v>
      </c>
      <c r="C1262" s="8" t="s">
        <v>5293</v>
      </c>
      <c r="D1262" s="8" t="s">
        <v>5303</v>
      </c>
      <c r="E1262" s="8" t="s">
        <v>5313</v>
      </c>
    </row>
    <row r="1263" spans="1:9" x14ac:dyDescent="0.25">
      <c r="A1263" s="7" t="s">
        <v>5648</v>
      </c>
      <c r="B1263" s="8">
        <v>7</v>
      </c>
      <c r="C1263" s="8" t="s">
        <v>5294</v>
      </c>
      <c r="D1263" s="8" t="s">
        <v>5304</v>
      </c>
      <c r="E1263" s="8" t="s">
        <v>5314</v>
      </c>
    </row>
    <row r="1264" spans="1:9" x14ac:dyDescent="0.25">
      <c r="A1264" s="7" t="s">
        <v>5648</v>
      </c>
      <c r="B1264" s="8">
        <v>8</v>
      </c>
      <c r="C1264" s="8" t="s">
        <v>5295</v>
      </c>
      <c r="D1264" s="8" t="s">
        <v>5305</v>
      </c>
      <c r="E1264" s="8" t="s">
        <v>5315</v>
      </c>
    </row>
    <row r="1265" spans="1:9" x14ac:dyDescent="0.25">
      <c r="A1265" s="7" t="s">
        <v>5648</v>
      </c>
      <c r="B1265" s="8">
        <v>9</v>
      </c>
      <c r="C1265" s="8" t="s">
        <v>5296</v>
      </c>
      <c r="D1265" s="8" t="s">
        <v>5306</v>
      </c>
      <c r="E1265" s="8" t="s">
        <v>5316</v>
      </c>
    </row>
    <row r="1266" spans="1:9" x14ac:dyDescent="0.25">
      <c r="A1266" s="7" t="s">
        <v>5648</v>
      </c>
      <c r="B1266" s="8">
        <v>10</v>
      </c>
      <c r="C1266" s="8" t="s">
        <v>5297</v>
      </c>
      <c r="D1266" s="8" t="s">
        <v>5307</v>
      </c>
      <c r="E1266" s="8" t="s">
        <v>5317</v>
      </c>
    </row>
    <row r="1267" spans="1:9" x14ac:dyDescent="0.25">
      <c r="A1267" s="7" t="s">
        <v>5648</v>
      </c>
      <c r="B1267" s="8">
        <v>96</v>
      </c>
      <c r="C1267" s="8" t="s">
        <v>3662</v>
      </c>
      <c r="D1267" s="8" t="s">
        <v>2008</v>
      </c>
      <c r="E1267" s="8" t="s">
        <v>1150</v>
      </c>
    </row>
    <row r="1268" spans="1:9" s="148" customFormat="1" x14ac:dyDescent="0.25">
      <c r="A1268" s="147"/>
      <c r="B1268" s="147"/>
      <c r="C1268" s="147"/>
      <c r="D1268" s="147"/>
      <c r="E1268" s="147"/>
      <c r="F1268" s="147"/>
      <c r="G1268" s="147"/>
      <c r="H1268" s="147"/>
      <c r="I1268" s="147"/>
    </row>
    <row r="1269" spans="1:9" x14ac:dyDescent="0.25">
      <c r="A1269" s="7" t="s">
        <v>5637</v>
      </c>
      <c r="B1269" s="8">
        <v>1</v>
      </c>
      <c r="C1269" s="8" t="s">
        <v>5318</v>
      </c>
      <c r="D1269" s="8" t="s">
        <v>5322</v>
      </c>
      <c r="E1269" s="8" t="s">
        <v>5326</v>
      </c>
    </row>
    <row r="1270" spans="1:9" x14ac:dyDescent="0.25">
      <c r="A1270" s="7" t="s">
        <v>5637</v>
      </c>
      <c r="B1270" s="8">
        <v>2</v>
      </c>
      <c r="C1270" s="8" t="s">
        <v>5319</v>
      </c>
      <c r="D1270" s="8" t="s">
        <v>5323</v>
      </c>
      <c r="E1270" s="8" t="s">
        <v>5327</v>
      </c>
    </row>
    <row r="1271" spans="1:9" x14ac:dyDescent="0.25">
      <c r="A1271" s="7" t="s">
        <v>5637</v>
      </c>
      <c r="B1271" s="8">
        <v>3</v>
      </c>
      <c r="C1271" s="8" t="s">
        <v>5320</v>
      </c>
      <c r="D1271" s="8" t="s">
        <v>5324</v>
      </c>
      <c r="E1271" s="8" t="s">
        <v>5328</v>
      </c>
    </row>
    <row r="1272" spans="1:9" x14ac:dyDescent="0.25">
      <c r="A1272" s="7" t="s">
        <v>5637</v>
      </c>
      <c r="B1272" s="8">
        <v>4</v>
      </c>
      <c r="C1272" s="8" t="s">
        <v>5321</v>
      </c>
      <c r="D1272" s="8" t="s">
        <v>5325</v>
      </c>
      <c r="E1272" s="8" t="s">
        <v>5329</v>
      </c>
    </row>
    <row r="1273" spans="1:9" s="148" customFormat="1" x14ac:dyDescent="0.25">
      <c r="A1273" s="147"/>
      <c r="B1273" s="147"/>
      <c r="C1273" s="147"/>
      <c r="D1273" s="147"/>
      <c r="E1273" s="147"/>
      <c r="F1273" s="147"/>
      <c r="G1273" s="147"/>
      <c r="H1273" s="147"/>
      <c r="I1273" s="147"/>
    </row>
    <row r="1274" spans="1:9" x14ac:dyDescent="0.25">
      <c r="A1274" s="7" t="s">
        <v>5649</v>
      </c>
      <c r="B1274" s="8">
        <v>1</v>
      </c>
      <c r="C1274" s="8" t="s">
        <v>5330</v>
      </c>
      <c r="D1274" s="8" t="s">
        <v>5339</v>
      </c>
      <c r="E1274" s="8" t="s">
        <v>5348</v>
      </c>
    </row>
    <row r="1275" spans="1:9" x14ac:dyDescent="0.25">
      <c r="A1275" s="7" t="s">
        <v>5649</v>
      </c>
      <c r="B1275" s="8">
        <v>2</v>
      </c>
      <c r="C1275" s="8" t="s">
        <v>5331</v>
      </c>
      <c r="D1275" s="8" t="s">
        <v>5340</v>
      </c>
      <c r="E1275" s="8" t="s">
        <v>5349</v>
      </c>
    </row>
    <row r="1276" spans="1:9" x14ac:dyDescent="0.25">
      <c r="A1276" s="7" t="s">
        <v>5649</v>
      </c>
      <c r="B1276" s="8">
        <v>3</v>
      </c>
      <c r="C1276" s="8" t="s">
        <v>5332</v>
      </c>
      <c r="D1276" s="8" t="s">
        <v>5341</v>
      </c>
      <c r="E1276" s="8" t="s">
        <v>5350</v>
      </c>
    </row>
    <row r="1277" spans="1:9" x14ac:dyDescent="0.25">
      <c r="A1277" s="7" t="s">
        <v>5649</v>
      </c>
      <c r="B1277" s="8">
        <v>4</v>
      </c>
      <c r="C1277" s="8" t="s">
        <v>5333</v>
      </c>
      <c r="D1277" s="8" t="s">
        <v>5342</v>
      </c>
      <c r="E1277" s="8" t="s">
        <v>5351</v>
      </c>
    </row>
    <row r="1278" spans="1:9" x14ac:dyDescent="0.25">
      <c r="A1278" s="7" t="s">
        <v>5649</v>
      </c>
      <c r="B1278" s="8">
        <v>5</v>
      </c>
      <c r="C1278" s="8" t="s">
        <v>5334</v>
      </c>
      <c r="D1278" s="8" t="s">
        <v>5343</v>
      </c>
      <c r="E1278" s="8" t="s">
        <v>5352</v>
      </c>
    </row>
    <row r="1279" spans="1:9" x14ac:dyDescent="0.25">
      <c r="A1279" s="7" t="s">
        <v>5649</v>
      </c>
      <c r="B1279" s="8">
        <v>6</v>
      </c>
      <c r="C1279" s="8" t="s">
        <v>5335</v>
      </c>
      <c r="D1279" s="8" t="s">
        <v>5344</v>
      </c>
      <c r="E1279" s="8" t="s">
        <v>5353</v>
      </c>
    </row>
    <row r="1280" spans="1:9" x14ac:dyDescent="0.25">
      <c r="A1280" s="7" t="s">
        <v>5649</v>
      </c>
      <c r="B1280" s="8">
        <v>7</v>
      </c>
      <c r="C1280" s="8" t="s">
        <v>5336</v>
      </c>
      <c r="D1280" s="8" t="s">
        <v>5345</v>
      </c>
      <c r="E1280" s="8" t="s">
        <v>5354</v>
      </c>
    </row>
    <row r="1281" spans="1:9" x14ac:dyDescent="0.25">
      <c r="A1281" s="7" t="s">
        <v>5649</v>
      </c>
      <c r="B1281" s="8">
        <v>8</v>
      </c>
      <c r="C1281" s="8" t="s">
        <v>5337</v>
      </c>
      <c r="D1281" s="8" t="s">
        <v>5346</v>
      </c>
      <c r="E1281" s="8" t="s">
        <v>5355</v>
      </c>
    </row>
    <row r="1282" spans="1:9" x14ac:dyDescent="0.25">
      <c r="A1282" s="7" t="s">
        <v>5649</v>
      </c>
      <c r="B1282" s="8">
        <v>9</v>
      </c>
      <c r="C1282" s="8" t="s">
        <v>5338</v>
      </c>
      <c r="D1282" s="8" t="s">
        <v>5347</v>
      </c>
      <c r="E1282" s="8" t="s">
        <v>5356</v>
      </c>
    </row>
    <row r="1283" spans="1:9" x14ac:dyDescent="0.25">
      <c r="A1283" s="7" t="s">
        <v>5649</v>
      </c>
      <c r="B1283" s="8">
        <v>96</v>
      </c>
      <c r="C1283" s="8" t="s">
        <v>913</v>
      </c>
      <c r="D1283" s="8" t="s">
        <v>79</v>
      </c>
      <c r="E1283" s="8" t="s">
        <v>1150</v>
      </c>
    </row>
    <row r="1284" spans="1:9" s="148" customFormat="1" x14ac:dyDescent="0.25">
      <c r="A1284" s="147"/>
      <c r="B1284" s="147"/>
      <c r="C1284" s="147"/>
      <c r="D1284" s="147"/>
      <c r="E1284" s="147"/>
      <c r="F1284" s="147"/>
      <c r="G1284" s="147"/>
      <c r="H1284" s="147"/>
      <c r="I1284" s="147"/>
    </row>
    <row r="1285" spans="1:9" x14ac:dyDescent="0.25">
      <c r="A1285" s="7" t="s">
        <v>5638</v>
      </c>
      <c r="B1285" s="8">
        <v>1</v>
      </c>
      <c r="C1285" s="8" t="s">
        <v>5357</v>
      </c>
      <c r="D1285" s="8" t="s">
        <v>5361</v>
      </c>
      <c r="E1285" s="8" t="s">
        <v>5365</v>
      </c>
    </row>
    <row r="1286" spans="1:9" x14ac:dyDescent="0.25">
      <c r="A1286" s="7" t="s">
        <v>5638</v>
      </c>
      <c r="B1286" s="8">
        <v>2</v>
      </c>
      <c r="C1286" s="8" t="s">
        <v>5358</v>
      </c>
      <c r="D1286" s="8" t="s">
        <v>5362</v>
      </c>
      <c r="E1286" s="8" t="s">
        <v>5366</v>
      </c>
    </row>
    <row r="1287" spans="1:9" x14ac:dyDescent="0.25">
      <c r="A1287" s="7" t="s">
        <v>5638</v>
      </c>
      <c r="B1287" s="8">
        <v>3</v>
      </c>
      <c r="C1287" s="8" t="s">
        <v>5359</v>
      </c>
      <c r="D1287" s="8" t="s">
        <v>5363</v>
      </c>
      <c r="E1287" s="8" t="s">
        <v>5367</v>
      </c>
    </row>
    <row r="1288" spans="1:9" x14ac:dyDescent="0.25">
      <c r="A1288" s="7" t="s">
        <v>5638</v>
      </c>
      <c r="B1288" s="8">
        <v>4</v>
      </c>
      <c r="C1288" s="8" t="s">
        <v>5360</v>
      </c>
      <c r="D1288" s="8" t="s">
        <v>4507</v>
      </c>
      <c r="E1288" s="8" t="s">
        <v>5368</v>
      </c>
    </row>
    <row r="1289" spans="1:9" x14ac:dyDescent="0.25">
      <c r="A1289" s="7" t="s">
        <v>5638</v>
      </c>
      <c r="B1289" s="8">
        <v>96</v>
      </c>
      <c r="C1289" s="8" t="s">
        <v>913</v>
      </c>
      <c r="D1289" s="8" t="s">
        <v>5364</v>
      </c>
      <c r="E1289" s="8" t="s">
        <v>1816</v>
      </c>
    </row>
    <row r="1290" spans="1:9" s="148" customFormat="1" x14ac:dyDescent="0.25">
      <c r="A1290" s="147"/>
      <c r="B1290" s="147"/>
      <c r="C1290" s="147"/>
      <c r="D1290" s="147"/>
      <c r="E1290" s="147"/>
      <c r="F1290" s="147"/>
      <c r="G1290" s="147"/>
      <c r="H1290" s="147"/>
      <c r="I1290" s="147"/>
    </row>
    <row r="1291" spans="1:9" x14ac:dyDescent="0.25">
      <c r="A1291" s="7" t="s">
        <v>5650</v>
      </c>
      <c r="B1291" s="8">
        <v>1</v>
      </c>
      <c r="C1291" s="8" t="s">
        <v>5369</v>
      </c>
      <c r="D1291" s="8" t="s">
        <v>5375</v>
      </c>
      <c r="E1291" s="8" t="s">
        <v>5381</v>
      </c>
    </row>
    <row r="1292" spans="1:9" x14ac:dyDescent="0.25">
      <c r="A1292" s="7" t="s">
        <v>5650</v>
      </c>
      <c r="B1292" s="8">
        <v>2</v>
      </c>
      <c r="C1292" s="8" t="s">
        <v>5370</v>
      </c>
      <c r="D1292" s="8" t="s">
        <v>5376</v>
      </c>
      <c r="E1292" s="8" t="s">
        <v>5382</v>
      </c>
    </row>
    <row r="1293" spans="1:9" x14ac:dyDescent="0.25">
      <c r="A1293" s="7" t="s">
        <v>5650</v>
      </c>
      <c r="B1293" s="8">
        <v>3</v>
      </c>
      <c r="C1293" s="8" t="s">
        <v>5371</v>
      </c>
      <c r="D1293" s="8" t="s">
        <v>5377</v>
      </c>
      <c r="E1293" s="8" t="s">
        <v>5383</v>
      </c>
    </row>
    <row r="1294" spans="1:9" x14ac:dyDescent="0.25">
      <c r="A1294" s="7" t="s">
        <v>5650</v>
      </c>
      <c r="B1294" s="8">
        <v>4</v>
      </c>
      <c r="C1294" s="8" t="s">
        <v>5372</v>
      </c>
      <c r="D1294" s="8" t="s">
        <v>5378</v>
      </c>
      <c r="E1294" s="8" t="s">
        <v>5384</v>
      </c>
    </row>
    <row r="1295" spans="1:9" x14ac:dyDescent="0.25">
      <c r="A1295" s="7" t="s">
        <v>5650</v>
      </c>
      <c r="B1295" s="8">
        <v>5</v>
      </c>
      <c r="C1295" s="8" t="s">
        <v>5373</v>
      </c>
      <c r="D1295" s="8" t="s">
        <v>5379</v>
      </c>
      <c r="E1295" s="8" t="s">
        <v>5385</v>
      </c>
    </row>
    <row r="1296" spans="1:9" x14ac:dyDescent="0.25">
      <c r="A1296" s="7" t="s">
        <v>5650</v>
      </c>
      <c r="B1296" s="8">
        <v>6</v>
      </c>
      <c r="C1296" s="8" t="s">
        <v>5374</v>
      </c>
      <c r="D1296" s="8" t="s">
        <v>5380</v>
      </c>
      <c r="E1296" s="8" t="s">
        <v>5386</v>
      </c>
    </row>
    <row r="1297" spans="1:9" x14ac:dyDescent="0.25">
      <c r="A1297" s="7" t="s">
        <v>5650</v>
      </c>
      <c r="B1297" s="8">
        <v>96</v>
      </c>
      <c r="C1297" s="8" t="s">
        <v>913</v>
      </c>
      <c r="D1297" s="8" t="s">
        <v>4281</v>
      </c>
      <c r="E1297" s="8" t="s">
        <v>1006</v>
      </c>
    </row>
    <row r="1298" spans="1:9" s="148" customFormat="1" x14ac:dyDescent="0.25">
      <c r="A1298" s="147"/>
      <c r="B1298" s="147"/>
      <c r="C1298" s="147"/>
      <c r="D1298" s="147"/>
      <c r="E1298" s="147"/>
      <c r="F1298" s="147"/>
      <c r="G1298" s="147"/>
      <c r="H1298" s="147"/>
      <c r="I1298" s="147"/>
    </row>
    <row r="1299" spans="1:9" x14ac:dyDescent="0.25">
      <c r="A1299" s="7" t="s">
        <v>5651</v>
      </c>
      <c r="B1299" s="8">
        <v>1</v>
      </c>
      <c r="C1299" s="8" t="s">
        <v>5387</v>
      </c>
      <c r="D1299" s="8" t="s">
        <v>5395</v>
      </c>
      <c r="E1299" s="8" t="s">
        <v>5404</v>
      </c>
    </row>
    <row r="1300" spans="1:9" x14ac:dyDescent="0.25">
      <c r="A1300" s="7" t="s">
        <v>5651</v>
      </c>
      <c r="B1300" s="8">
        <v>2</v>
      </c>
      <c r="C1300" s="8" t="s">
        <v>5388</v>
      </c>
      <c r="D1300" s="8" t="s">
        <v>5396</v>
      </c>
      <c r="E1300" s="8" t="s">
        <v>5405</v>
      </c>
    </row>
    <row r="1301" spans="1:9" x14ac:dyDescent="0.25">
      <c r="A1301" s="7" t="s">
        <v>5651</v>
      </c>
      <c r="B1301" s="8">
        <v>3</v>
      </c>
      <c r="C1301" s="8" t="s">
        <v>5389</v>
      </c>
      <c r="D1301" s="8" t="s">
        <v>5397</v>
      </c>
      <c r="E1301" s="8" t="s">
        <v>5406</v>
      </c>
    </row>
    <row r="1302" spans="1:9" x14ac:dyDescent="0.25">
      <c r="A1302" s="7" t="s">
        <v>5651</v>
      </c>
      <c r="B1302" s="8">
        <v>4</v>
      </c>
      <c r="C1302" s="8" t="s">
        <v>5390</v>
      </c>
      <c r="D1302" s="8" t="s">
        <v>5398</v>
      </c>
      <c r="E1302" s="8" t="s">
        <v>5407</v>
      </c>
    </row>
    <row r="1303" spans="1:9" x14ac:dyDescent="0.25">
      <c r="A1303" s="7" t="s">
        <v>5651</v>
      </c>
      <c r="B1303" s="8">
        <v>5</v>
      </c>
      <c r="C1303" s="8" t="s">
        <v>5391</v>
      </c>
      <c r="D1303" s="8" t="s">
        <v>5399</v>
      </c>
      <c r="E1303" s="8" t="s">
        <v>5408</v>
      </c>
    </row>
    <row r="1304" spans="1:9" x14ac:dyDescent="0.25">
      <c r="A1304" s="7" t="s">
        <v>5651</v>
      </c>
      <c r="B1304" s="8">
        <v>6</v>
      </c>
      <c r="C1304" s="8" t="s">
        <v>5392</v>
      </c>
      <c r="D1304" s="8" t="s">
        <v>5400</v>
      </c>
      <c r="E1304" s="8" t="s">
        <v>5409</v>
      </c>
    </row>
    <row r="1305" spans="1:9" x14ac:dyDescent="0.25">
      <c r="A1305" s="7" t="s">
        <v>5651</v>
      </c>
      <c r="B1305" s="8">
        <v>7</v>
      </c>
      <c r="C1305" s="8" t="s">
        <v>5393</v>
      </c>
      <c r="D1305" s="8" t="s">
        <v>5401</v>
      </c>
      <c r="E1305" s="8" t="s">
        <v>5410</v>
      </c>
    </row>
    <row r="1306" spans="1:9" x14ac:dyDescent="0.25">
      <c r="A1306" s="7" t="s">
        <v>5651</v>
      </c>
      <c r="B1306" s="8">
        <v>8</v>
      </c>
      <c r="C1306" s="8" t="s">
        <v>5394</v>
      </c>
      <c r="D1306" s="8" t="s">
        <v>5402</v>
      </c>
      <c r="E1306" s="8" t="s">
        <v>5411</v>
      </c>
    </row>
    <row r="1307" spans="1:9" x14ac:dyDescent="0.25">
      <c r="A1307" s="7" t="s">
        <v>5651</v>
      </c>
      <c r="B1307" s="8">
        <v>9</v>
      </c>
      <c r="C1307" s="8" t="s">
        <v>3063</v>
      </c>
      <c r="D1307" s="8" t="s">
        <v>5403</v>
      </c>
      <c r="E1307" s="8" t="s">
        <v>5412</v>
      </c>
    </row>
    <row r="1308" spans="1:9" x14ac:dyDescent="0.25">
      <c r="A1308" s="7" t="s">
        <v>5651</v>
      </c>
      <c r="B1308" s="8">
        <v>96</v>
      </c>
      <c r="C1308" s="8" t="s">
        <v>913</v>
      </c>
      <c r="D1308" s="8" t="s">
        <v>4281</v>
      </c>
      <c r="E1308" s="8" t="s">
        <v>1006</v>
      </c>
    </row>
    <row r="1309" spans="1:9" s="148" customFormat="1" x14ac:dyDescent="0.25">
      <c r="A1309" s="147"/>
      <c r="B1309" s="147"/>
      <c r="C1309" s="147"/>
      <c r="D1309" s="147"/>
      <c r="E1309" s="147"/>
      <c r="F1309" s="147"/>
      <c r="G1309" s="147"/>
      <c r="H1309" s="147"/>
      <c r="I1309" s="147"/>
    </row>
    <row r="1310" spans="1:9" x14ac:dyDescent="0.25">
      <c r="A1310" s="7" t="s">
        <v>5652</v>
      </c>
      <c r="B1310" s="8">
        <v>1</v>
      </c>
      <c r="C1310" s="8" t="s">
        <v>633</v>
      </c>
      <c r="D1310" s="8" t="s">
        <v>637</v>
      </c>
      <c r="E1310" s="8" t="s">
        <v>637</v>
      </c>
    </row>
    <row r="1311" spans="1:9" x14ac:dyDescent="0.25">
      <c r="A1311" s="7" t="s">
        <v>5652</v>
      </c>
      <c r="B1311" s="8">
        <v>2</v>
      </c>
      <c r="C1311" s="8" t="s">
        <v>5413</v>
      </c>
      <c r="D1311" s="8" t="s">
        <v>5420</v>
      </c>
      <c r="E1311" s="8" t="s">
        <v>5420</v>
      </c>
    </row>
    <row r="1312" spans="1:9" x14ac:dyDescent="0.25">
      <c r="A1312" s="7" t="s">
        <v>5652</v>
      </c>
      <c r="B1312" s="8">
        <v>3</v>
      </c>
      <c r="C1312" s="8" t="s">
        <v>634</v>
      </c>
      <c r="D1312" s="8" t="s">
        <v>638</v>
      </c>
      <c r="E1312" s="8" t="s">
        <v>638</v>
      </c>
    </row>
    <row r="1313" spans="1:9" x14ac:dyDescent="0.25">
      <c r="A1313" s="7" t="s">
        <v>5652</v>
      </c>
      <c r="B1313" s="8">
        <v>4</v>
      </c>
      <c r="C1313" s="8" t="s">
        <v>5414</v>
      </c>
      <c r="D1313" s="8" t="s">
        <v>5414</v>
      </c>
      <c r="E1313" s="8" t="s">
        <v>5414</v>
      </c>
    </row>
    <row r="1314" spans="1:9" x14ac:dyDescent="0.25">
      <c r="A1314" s="7" t="s">
        <v>5652</v>
      </c>
      <c r="B1314" s="8">
        <v>5</v>
      </c>
      <c r="C1314" s="8" t="s">
        <v>5415</v>
      </c>
      <c r="D1314" s="8" t="s">
        <v>5421</v>
      </c>
      <c r="E1314" s="8" t="s">
        <v>5426</v>
      </c>
    </row>
    <row r="1315" spans="1:9" x14ac:dyDescent="0.25">
      <c r="A1315" s="7" t="s">
        <v>5652</v>
      </c>
      <c r="B1315" s="8">
        <v>6</v>
      </c>
      <c r="C1315" s="8" t="s">
        <v>5416</v>
      </c>
      <c r="D1315" s="8" t="s">
        <v>5422</v>
      </c>
      <c r="E1315" s="8" t="s">
        <v>5427</v>
      </c>
    </row>
    <row r="1316" spans="1:9" x14ac:dyDescent="0.25">
      <c r="A1316" s="7" t="s">
        <v>5652</v>
      </c>
      <c r="B1316" s="8">
        <v>7</v>
      </c>
      <c r="C1316" s="8" t="s">
        <v>5417</v>
      </c>
      <c r="D1316" s="8" t="s">
        <v>5417</v>
      </c>
      <c r="E1316" s="8" t="s">
        <v>5417</v>
      </c>
    </row>
    <row r="1317" spans="1:9" x14ac:dyDescent="0.25">
      <c r="A1317" s="7" t="s">
        <v>5652</v>
      </c>
      <c r="B1317" s="8">
        <v>8</v>
      </c>
      <c r="C1317" s="8" t="s">
        <v>5418</v>
      </c>
      <c r="D1317" s="8" t="s">
        <v>5423</v>
      </c>
      <c r="E1317" s="8" t="s">
        <v>5428</v>
      </c>
    </row>
    <row r="1318" spans="1:9" x14ac:dyDescent="0.25">
      <c r="A1318" s="7" t="s">
        <v>5652</v>
      </c>
      <c r="B1318" s="8">
        <v>9</v>
      </c>
      <c r="C1318" s="8" t="s">
        <v>5419</v>
      </c>
      <c r="D1318" s="8" t="s">
        <v>5424</v>
      </c>
      <c r="E1318" s="8" t="s">
        <v>5429</v>
      </c>
    </row>
    <row r="1319" spans="1:9" x14ac:dyDescent="0.25">
      <c r="A1319" s="7" t="s">
        <v>5652</v>
      </c>
      <c r="B1319" s="8">
        <v>10</v>
      </c>
      <c r="C1319" s="8" t="s">
        <v>3345</v>
      </c>
      <c r="D1319" s="8" t="s">
        <v>5425</v>
      </c>
      <c r="E1319" s="8" t="s">
        <v>5430</v>
      </c>
    </row>
    <row r="1320" spans="1:9" x14ac:dyDescent="0.25">
      <c r="A1320" s="7" t="s">
        <v>5652</v>
      </c>
      <c r="B1320" s="8">
        <v>96</v>
      </c>
      <c r="C1320" s="8" t="s">
        <v>913</v>
      </c>
      <c r="D1320" s="8" t="s">
        <v>4281</v>
      </c>
      <c r="E1320" s="8" t="s">
        <v>1816</v>
      </c>
    </row>
    <row r="1321" spans="1:9" s="148" customFormat="1" x14ac:dyDescent="0.25">
      <c r="A1321" s="147"/>
      <c r="B1321" s="147"/>
      <c r="C1321" s="147"/>
      <c r="D1321" s="147"/>
      <c r="E1321" s="147"/>
      <c r="F1321" s="147"/>
      <c r="G1321" s="147"/>
      <c r="H1321" s="147"/>
      <c r="I1321" s="147"/>
    </row>
    <row r="1322" spans="1:9" x14ac:dyDescent="0.25">
      <c r="A1322" s="8" t="s">
        <v>5447</v>
      </c>
      <c r="B1322" s="8">
        <v>1</v>
      </c>
      <c r="C1322" s="8" t="s">
        <v>5442</v>
      </c>
      <c r="D1322" s="8" t="s">
        <v>5448</v>
      </c>
      <c r="E1322" s="8" t="s">
        <v>5452</v>
      </c>
    </row>
    <row r="1323" spans="1:9" x14ac:dyDescent="0.25">
      <c r="A1323" s="8" t="s">
        <v>5447</v>
      </c>
      <c r="B1323" s="8">
        <v>2</v>
      </c>
      <c r="C1323" s="8" t="s">
        <v>5443</v>
      </c>
      <c r="D1323" s="8" t="s">
        <v>5449</v>
      </c>
      <c r="E1323" s="8" t="s">
        <v>5453</v>
      </c>
    </row>
    <row r="1324" spans="1:9" x14ac:dyDescent="0.25">
      <c r="A1324" s="8" t="s">
        <v>5447</v>
      </c>
      <c r="B1324" s="8">
        <v>3</v>
      </c>
      <c r="C1324" s="8" t="s">
        <v>5444</v>
      </c>
      <c r="D1324" s="8" t="s">
        <v>5450</v>
      </c>
      <c r="E1324" s="8" t="s">
        <v>5454</v>
      </c>
    </row>
    <row r="1325" spans="1:9" x14ac:dyDescent="0.25">
      <c r="A1325" s="8" t="s">
        <v>5447</v>
      </c>
      <c r="B1325" s="8">
        <v>4</v>
      </c>
      <c r="C1325" s="8" t="s">
        <v>5445</v>
      </c>
      <c r="D1325" s="8" t="s">
        <v>5451</v>
      </c>
      <c r="E1325" s="8" t="s">
        <v>5455</v>
      </c>
    </row>
    <row r="1326" spans="1:9" x14ac:dyDescent="0.25">
      <c r="A1326" s="8" t="s">
        <v>5447</v>
      </c>
      <c r="B1326" s="8">
        <v>96</v>
      </c>
      <c r="C1326" s="8" t="s">
        <v>5446</v>
      </c>
      <c r="D1326" s="8" t="s">
        <v>2317</v>
      </c>
      <c r="E1326" s="8" t="s">
        <v>1219</v>
      </c>
    </row>
    <row r="1327" spans="1:9" s="148" customFormat="1" x14ac:dyDescent="0.25">
      <c r="A1327" s="147"/>
      <c r="B1327" s="147"/>
      <c r="C1327" s="147"/>
      <c r="D1327" s="147"/>
      <c r="E1327" s="147"/>
      <c r="F1327" s="147"/>
      <c r="G1327" s="147"/>
      <c r="H1327" s="147"/>
      <c r="I1327" s="147"/>
    </row>
    <row r="1328" spans="1:9" x14ac:dyDescent="0.25">
      <c r="A1328" s="8" t="s">
        <v>5461</v>
      </c>
      <c r="B1328" s="8">
        <v>1</v>
      </c>
      <c r="C1328" s="8" t="s">
        <v>5462</v>
      </c>
      <c r="D1328" s="8" t="s">
        <v>5465</v>
      </c>
      <c r="E1328" s="8" t="s">
        <v>5469</v>
      </c>
    </row>
    <row r="1329" spans="1:9" x14ac:dyDescent="0.25">
      <c r="A1329" s="8" t="s">
        <v>5461</v>
      </c>
      <c r="B1329" s="8">
        <v>2</v>
      </c>
      <c r="C1329" s="8" t="s">
        <v>53</v>
      </c>
      <c r="D1329" s="8" t="s">
        <v>5466</v>
      </c>
      <c r="E1329" s="8" t="s">
        <v>5470</v>
      </c>
    </row>
    <row r="1330" spans="1:9" x14ac:dyDescent="0.25">
      <c r="A1330" s="8" t="s">
        <v>5461</v>
      </c>
      <c r="B1330" s="8">
        <v>3</v>
      </c>
      <c r="C1330" s="8" t="s">
        <v>5463</v>
      </c>
      <c r="D1330" s="8" t="s">
        <v>5467</v>
      </c>
      <c r="E1330" s="8" t="s">
        <v>5471</v>
      </c>
    </row>
    <row r="1331" spans="1:9" x14ac:dyDescent="0.25">
      <c r="A1331" s="8" t="s">
        <v>5461</v>
      </c>
      <c r="B1331" s="8">
        <v>4</v>
      </c>
      <c r="C1331" s="8" t="s">
        <v>5464</v>
      </c>
      <c r="D1331" s="8" t="s">
        <v>5468</v>
      </c>
      <c r="E1331" s="8" t="s">
        <v>5472</v>
      </c>
    </row>
    <row r="1332" spans="1:9" x14ac:dyDescent="0.25">
      <c r="A1332" s="8" t="s">
        <v>5461</v>
      </c>
      <c r="B1332" s="8">
        <v>96</v>
      </c>
      <c r="C1332" s="8" t="s">
        <v>78</v>
      </c>
      <c r="D1332" s="8" t="s">
        <v>79</v>
      </c>
      <c r="E1332" s="8" t="s">
        <v>1006</v>
      </c>
    </row>
    <row r="1333" spans="1:9" s="148" customFormat="1" x14ac:dyDescent="0.25">
      <c r="A1333" s="147"/>
      <c r="B1333" s="147"/>
      <c r="C1333" s="147"/>
      <c r="D1333" s="147"/>
      <c r="E1333" s="147"/>
      <c r="F1333" s="147"/>
      <c r="G1333" s="147"/>
      <c r="H1333" s="147"/>
      <c r="I1333" s="147"/>
    </row>
    <row r="1334" spans="1:9" x14ac:dyDescent="0.25">
      <c r="A1334" s="7" t="s">
        <v>5653</v>
      </c>
      <c r="B1334" s="8">
        <v>1</v>
      </c>
      <c r="C1334" s="8" t="s">
        <v>5482</v>
      </c>
      <c r="D1334" s="8" t="s">
        <v>5487</v>
      </c>
      <c r="E1334" s="8" t="s">
        <v>5492</v>
      </c>
    </row>
    <row r="1335" spans="1:9" x14ac:dyDescent="0.25">
      <c r="A1335" s="7" t="s">
        <v>5653</v>
      </c>
      <c r="B1335" s="8">
        <v>2</v>
      </c>
      <c r="C1335" s="8" t="s">
        <v>5483</v>
      </c>
      <c r="D1335" s="8" t="s">
        <v>5488</v>
      </c>
      <c r="E1335" s="8" t="s">
        <v>5493</v>
      </c>
    </row>
    <row r="1336" spans="1:9" x14ac:dyDescent="0.25">
      <c r="A1336" s="7" t="s">
        <v>5653</v>
      </c>
      <c r="B1336" s="8">
        <v>3</v>
      </c>
      <c r="C1336" s="8" t="s">
        <v>5484</v>
      </c>
      <c r="D1336" s="8" t="s">
        <v>5489</v>
      </c>
      <c r="E1336" s="8" t="s">
        <v>5494</v>
      </c>
    </row>
    <row r="1337" spans="1:9" x14ac:dyDescent="0.25">
      <c r="A1337" s="7" t="s">
        <v>5653</v>
      </c>
      <c r="B1337" s="8">
        <v>4</v>
      </c>
      <c r="C1337" s="8" t="s">
        <v>5485</v>
      </c>
      <c r="D1337" s="8" t="s">
        <v>5490</v>
      </c>
      <c r="E1337" s="8" t="s">
        <v>5495</v>
      </c>
    </row>
    <row r="1338" spans="1:9" x14ac:dyDescent="0.25">
      <c r="A1338" s="7" t="s">
        <v>5653</v>
      </c>
      <c r="B1338" s="8">
        <v>5</v>
      </c>
      <c r="C1338" s="8" t="s">
        <v>5486</v>
      </c>
      <c r="D1338" s="8" t="s">
        <v>5491</v>
      </c>
      <c r="E1338" s="8" t="s">
        <v>5496</v>
      </c>
    </row>
    <row r="1339" spans="1:9" x14ac:dyDescent="0.25">
      <c r="A1339" s="7" t="s">
        <v>5653</v>
      </c>
      <c r="B1339" s="8">
        <v>96</v>
      </c>
      <c r="C1339" s="8" t="s">
        <v>78</v>
      </c>
      <c r="D1339" s="8" t="s">
        <v>79</v>
      </c>
      <c r="E1339" s="8" t="s">
        <v>1006</v>
      </c>
    </row>
    <row r="1340" spans="1:9" s="148" customFormat="1" x14ac:dyDescent="0.25">
      <c r="A1340" s="147"/>
      <c r="B1340" s="147"/>
      <c r="C1340" s="147"/>
      <c r="D1340" s="147"/>
      <c r="E1340" s="147"/>
      <c r="F1340" s="147"/>
      <c r="G1340" s="147"/>
      <c r="H1340" s="147"/>
      <c r="I1340" s="147"/>
    </row>
    <row r="1341" spans="1:9" x14ac:dyDescent="0.25">
      <c r="A1341" s="8" t="s">
        <v>5522</v>
      </c>
      <c r="B1341" s="8">
        <v>1</v>
      </c>
      <c r="C1341" s="8" t="s">
        <v>5625</v>
      </c>
      <c r="D1341" s="8" t="s">
        <v>5629</v>
      </c>
      <c r="E1341" s="8" t="s">
        <v>5629</v>
      </c>
    </row>
    <row r="1342" spans="1:9" x14ac:dyDescent="0.25">
      <c r="A1342" s="8" t="s">
        <v>5522</v>
      </c>
      <c r="B1342" s="8">
        <v>2</v>
      </c>
      <c r="C1342" s="8" t="s">
        <v>5626</v>
      </c>
      <c r="D1342" s="8" t="s">
        <v>5630</v>
      </c>
      <c r="E1342" s="8" t="s">
        <v>5630</v>
      </c>
    </row>
    <row r="1343" spans="1:9" x14ac:dyDescent="0.25">
      <c r="A1343" s="8" t="s">
        <v>5522</v>
      </c>
      <c r="B1343" s="8">
        <v>3</v>
      </c>
      <c r="C1343" s="8" t="s">
        <v>5627</v>
      </c>
      <c r="D1343" s="8" t="s">
        <v>5631</v>
      </c>
      <c r="E1343" s="8" t="s">
        <v>5631</v>
      </c>
    </row>
    <row r="1344" spans="1:9" x14ac:dyDescent="0.25">
      <c r="A1344" s="8" t="s">
        <v>5522</v>
      </c>
      <c r="B1344" s="8">
        <v>4</v>
      </c>
      <c r="C1344" s="8" t="s">
        <v>5628</v>
      </c>
      <c r="D1344" s="8" t="s">
        <v>5632</v>
      </c>
      <c r="E1344" s="8" t="s">
        <v>5632</v>
      </c>
    </row>
    <row r="1345" spans="1:9" s="148" customFormat="1" x14ac:dyDescent="0.25">
      <c r="A1345" s="147"/>
      <c r="B1345" s="147"/>
      <c r="C1345" s="147"/>
      <c r="D1345" s="147"/>
      <c r="E1345" s="147"/>
      <c r="F1345" s="147"/>
      <c r="G1345" s="147"/>
      <c r="H1345" s="147"/>
      <c r="I1345" s="147"/>
    </row>
    <row r="1346" spans="1:9" x14ac:dyDescent="0.25">
      <c r="A1346" s="7" t="s">
        <v>5639</v>
      </c>
      <c r="B1346" s="8">
        <v>1</v>
      </c>
      <c r="C1346" s="8" t="s">
        <v>5554</v>
      </c>
      <c r="D1346" s="8" t="s">
        <v>5558</v>
      </c>
      <c r="E1346" s="8" t="s">
        <v>5562</v>
      </c>
    </row>
    <row r="1347" spans="1:9" x14ac:dyDescent="0.25">
      <c r="A1347" s="7" t="s">
        <v>5639</v>
      </c>
      <c r="B1347" s="8">
        <v>2</v>
      </c>
      <c r="C1347" s="8" t="s">
        <v>5555</v>
      </c>
      <c r="D1347" s="8" t="s">
        <v>5559</v>
      </c>
      <c r="E1347" s="8" t="s">
        <v>5563</v>
      </c>
    </row>
    <row r="1348" spans="1:9" x14ac:dyDescent="0.25">
      <c r="A1348" s="7" t="s">
        <v>5639</v>
      </c>
      <c r="B1348" s="8">
        <v>3</v>
      </c>
      <c r="C1348" s="8" t="s">
        <v>5556</v>
      </c>
      <c r="D1348" s="8" t="s">
        <v>5560</v>
      </c>
      <c r="E1348" s="8" t="s">
        <v>5564</v>
      </c>
    </row>
    <row r="1349" spans="1:9" x14ac:dyDescent="0.25">
      <c r="A1349" s="7" t="s">
        <v>5639</v>
      </c>
      <c r="B1349" s="8">
        <v>4</v>
      </c>
      <c r="C1349" s="8" t="s">
        <v>5557</v>
      </c>
      <c r="D1349" s="8" t="s">
        <v>5561</v>
      </c>
      <c r="E1349" s="8" t="s">
        <v>5565</v>
      </c>
    </row>
    <row r="1350" spans="1:9" s="148" customFormat="1" x14ac:dyDescent="0.25">
      <c r="A1350" s="147"/>
      <c r="B1350" s="147"/>
      <c r="C1350" s="147"/>
      <c r="D1350" s="147"/>
      <c r="E1350" s="147"/>
      <c r="F1350" s="147"/>
      <c r="G1350" s="147"/>
      <c r="H1350" s="147"/>
      <c r="I1350" s="147"/>
    </row>
    <row r="1351" spans="1:9" x14ac:dyDescent="0.25">
      <c r="A1351" s="7" t="s">
        <v>5640</v>
      </c>
      <c r="B1351" s="8">
        <v>1</v>
      </c>
      <c r="C1351" s="8" t="s">
        <v>5566</v>
      </c>
      <c r="D1351" s="8" t="s">
        <v>5574</v>
      </c>
      <c r="E1351" s="8" t="s">
        <v>5583</v>
      </c>
    </row>
    <row r="1352" spans="1:9" x14ac:dyDescent="0.25">
      <c r="A1352" s="7" t="s">
        <v>5640</v>
      </c>
      <c r="B1352" s="8">
        <v>2</v>
      </c>
      <c r="C1352" s="8" t="s">
        <v>5567</v>
      </c>
      <c r="D1352" s="8" t="s">
        <v>5575</v>
      </c>
      <c r="E1352" s="8" t="s">
        <v>5584</v>
      </c>
    </row>
    <row r="1353" spans="1:9" x14ac:dyDescent="0.25">
      <c r="A1353" s="7" t="s">
        <v>5640</v>
      </c>
      <c r="B1353" s="8">
        <v>3</v>
      </c>
      <c r="C1353" s="8" t="s">
        <v>5568</v>
      </c>
      <c r="D1353" s="8" t="s">
        <v>5576</v>
      </c>
      <c r="E1353" s="8" t="s">
        <v>5585</v>
      </c>
    </row>
    <row r="1354" spans="1:9" x14ac:dyDescent="0.25">
      <c r="A1354" s="7" t="s">
        <v>5640</v>
      </c>
      <c r="B1354" s="8">
        <v>4</v>
      </c>
      <c r="C1354" s="8" t="s">
        <v>5569</v>
      </c>
      <c r="D1354" s="8" t="s">
        <v>5577</v>
      </c>
      <c r="E1354" s="8" t="s">
        <v>5586</v>
      </c>
    </row>
    <row r="1355" spans="1:9" x14ac:dyDescent="0.25">
      <c r="A1355" s="7" t="s">
        <v>5640</v>
      </c>
      <c r="B1355" s="8">
        <v>5</v>
      </c>
      <c r="C1355" s="8" t="s">
        <v>5570</v>
      </c>
      <c r="D1355" s="8" t="s">
        <v>5578</v>
      </c>
      <c r="E1355" s="8" t="s">
        <v>5587</v>
      </c>
    </row>
    <row r="1356" spans="1:9" x14ac:dyDescent="0.25">
      <c r="A1356" s="7" t="s">
        <v>5640</v>
      </c>
      <c r="B1356" s="8">
        <v>6</v>
      </c>
      <c r="C1356" s="8" t="s">
        <v>5571</v>
      </c>
      <c r="D1356" s="8" t="s">
        <v>5579</v>
      </c>
      <c r="E1356" s="8" t="s">
        <v>5588</v>
      </c>
    </row>
    <row r="1357" spans="1:9" x14ac:dyDescent="0.25">
      <c r="A1357" s="7" t="s">
        <v>5640</v>
      </c>
      <c r="B1357" s="8">
        <v>7</v>
      </c>
      <c r="C1357" s="8" t="s">
        <v>5572</v>
      </c>
      <c r="D1357" s="8" t="s">
        <v>5580</v>
      </c>
      <c r="E1357" s="8" t="s">
        <v>5589</v>
      </c>
    </row>
    <row r="1358" spans="1:9" x14ac:dyDescent="0.25">
      <c r="A1358" s="7" t="s">
        <v>5640</v>
      </c>
      <c r="B1358" s="8">
        <v>8</v>
      </c>
      <c r="C1358" s="8" t="s">
        <v>5573</v>
      </c>
      <c r="D1358" s="8" t="s">
        <v>5581</v>
      </c>
      <c r="E1358" s="8" t="s">
        <v>5590</v>
      </c>
    </row>
    <row r="1359" spans="1:9" x14ac:dyDescent="0.25">
      <c r="A1359" s="7" t="s">
        <v>5640</v>
      </c>
      <c r="B1359" s="8">
        <v>96</v>
      </c>
      <c r="C1359" s="8" t="s">
        <v>913</v>
      </c>
      <c r="D1359" s="8" t="s">
        <v>5582</v>
      </c>
      <c r="E1359" s="8" t="s">
        <v>5591</v>
      </c>
    </row>
    <row r="1360" spans="1:9" s="148" customFormat="1" x14ac:dyDescent="0.25">
      <c r="A1360" s="147"/>
      <c r="B1360" s="147"/>
      <c r="C1360" s="147"/>
      <c r="D1360" s="147"/>
      <c r="E1360" s="147"/>
      <c r="F1360" s="147"/>
      <c r="G1360" s="147"/>
      <c r="H1360" s="147"/>
      <c r="I1360" s="147"/>
    </row>
    <row r="1361" spans="1:9" x14ac:dyDescent="0.25">
      <c r="A1361" s="7" t="s">
        <v>5641</v>
      </c>
      <c r="B1361" s="8">
        <v>1</v>
      </c>
      <c r="C1361" s="8" t="s">
        <v>5592</v>
      </c>
      <c r="D1361" s="8" t="s">
        <v>5600</v>
      </c>
      <c r="E1361" s="8" t="s">
        <v>5608</v>
      </c>
    </row>
    <row r="1362" spans="1:9" x14ac:dyDescent="0.25">
      <c r="A1362" s="7" t="s">
        <v>5641</v>
      </c>
      <c r="B1362" s="8">
        <v>2</v>
      </c>
      <c r="C1362" s="8" t="s">
        <v>5593</v>
      </c>
      <c r="D1362" s="8" t="s">
        <v>5601</v>
      </c>
      <c r="E1362" s="8" t="s">
        <v>5609</v>
      </c>
    </row>
    <row r="1363" spans="1:9" x14ac:dyDescent="0.25">
      <c r="A1363" s="7" t="s">
        <v>5641</v>
      </c>
      <c r="B1363" s="8">
        <v>3</v>
      </c>
      <c r="C1363" s="8" t="s">
        <v>5594</v>
      </c>
      <c r="D1363" s="8" t="s">
        <v>5602</v>
      </c>
      <c r="E1363" s="8" t="s">
        <v>5610</v>
      </c>
    </row>
    <row r="1364" spans="1:9" x14ac:dyDescent="0.25">
      <c r="A1364" s="7" t="s">
        <v>5641</v>
      </c>
      <c r="B1364" s="8">
        <v>4</v>
      </c>
      <c r="C1364" s="8" t="s">
        <v>5595</v>
      </c>
      <c r="D1364" s="8" t="s">
        <v>5603</v>
      </c>
      <c r="E1364" s="8" t="s">
        <v>5611</v>
      </c>
    </row>
    <row r="1365" spans="1:9" x14ac:dyDescent="0.25">
      <c r="A1365" s="7" t="s">
        <v>5641</v>
      </c>
      <c r="B1365" s="8">
        <v>5</v>
      </c>
      <c r="C1365" s="8" t="s">
        <v>5596</v>
      </c>
      <c r="D1365" s="8" t="s">
        <v>5604</v>
      </c>
      <c r="E1365" s="8" t="s">
        <v>5612</v>
      </c>
    </row>
    <row r="1366" spans="1:9" x14ac:dyDescent="0.25">
      <c r="A1366" s="7" t="s">
        <v>5641</v>
      </c>
      <c r="B1366" s="8">
        <v>6</v>
      </c>
      <c r="C1366" s="8" t="s">
        <v>5597</v>
      </c>
      <c r="D1366" s="8" t="s">
        <v>5605</v>
      </c>
      <c r="E1366" s="8" t="s">
        <v>5613</v>
      </c>
    </row>
    <row r="1367" spans="1:9" x14ac:dyDescent="0.25">
      <c r="A1367" s="7" t="s">
        <v>5641</v>
      </c>
      <c r="B1367" s="8">
        <v>7</v>
      </c>
      <c r="C1367" s="8" t="s">
        <v>5599</v>
      </c>
      <c r="D1367" s="8" t="s">
        <v>5606</v>
      </c>
      <c r="E1367" s="8" t="s">
        <v>5614</v>
      </c>
    </row>
    <row r="1368" spans="1:9" x14ac:dyDescent="0.25">
      <c r="A1368" s="7" t="s">
        <v>5641</v>
      </c>
      <c r="B1368" s="8">
        <v>8</v>
      </c>
      <c r="C1368" s="8" t="s">
        <v>5598</v>
      </c>
      <c r="D1368" s="8" t="s">
        <v>5607</v>
      </c>
      <c r="E1368" s="7" t="s">
        <v>5615</v>
      </c>
    </row>
    <row r="1369" spans="1:9" x14ac:dyDescent="0.25">
      <c r="A1369" s="7" t="s">
        <v>5641</v>
      </c>
      <c r="B1369" s="8">
        <v>96</v>
      </c>
      <c r="C1369" s="8" t="s">
        <v>913</v>
      </c>
      <c r="D1369" s="8" t="s">
        <v>5582</v>
      </c>
      <c r="E1369" s="7" t="s">
        <v>5591</v>
      </c>
    </row>
    <row r="1370" spans="1:9" s="148" customFormat="1" x14ac:dyDescent="0.25">
      <c r="A1370" s="147"/>
      <c r="B1370" s="147"/>
      <c r="C1370" s="147"/>
      <c r="D1370" s="147"/>
      <c r="E1370" s="147"/>
      <c r="F1370" s="147"/>
      <c r="G1370" s="147"/>
      <c r="H1370" s="147"/>
      <c r="I1370" s="147"/>
    </row>
    <row r="1371" spans="1:9" ht="15" x14ac:dyDescent="0.25">
      <c r="A1371" t="s">
        <v>5642</v>
      </c>
      <c r="B1371" s="8">
        <v>1</v>
      </c>
      <c r="C1371" s="8" t="s">
        <v>5554</v>
      </c>
      <c r="D1371" s="8" t="s">
        <v>5558</v>
      </c>
      <c r="E1371" s="8" t="s">
        <v>5562</v>
      </c>
    </row>
    <row r="1372" spans="1:9" ht="15" x14ac:dyDescent="0.25">
      <c r="A1372" t="s">
        <v>5642</v>
      </c>
      <c r="B1372" s="8">
        <v>2</v>
      </c>
      <c r="C1372" s="8" t="s">
        <v>5555</v>
      </c>
      <c r="D1372" s="8" t="s">
        <v>5559</v>
      </c>
      <c r="E1372" s="8" t="s">
        <v>5563</v>
      </c>
    </row>
    <row r="1373" spans="1:9" ht="15" x14ac:dyDescent="0.25">
      <c r="A1373" t="s">
        <v>5642</v>
      </c>
      <c r="B1373" s="8">
        <v>3</v>
      </c>
      <c r="C1373" s="8" t="s">
        <v>5556</v>
      </c>
      <c r="D1373" s="8" t="s">
        <v>5560</v>
      </c>
      <c r="E1373" s="8" t="s">
        <v>5564</v>
      </c>
    </row>
    <row r="1374" spans="1:9" ht="15" x14ac:dyDescent="0.25">
      <c r="A1374" t="s">
        <v>5642</v>
      </c>
      <c r="B1374" s="8">
        <v>4</v>
      </c>
      <c r="C1374" s="8" t="s">
        <v>5557</v>
      </c>
      <c r="D1374" s="8" t="s">
        <v>5561</v>
      </c>
      <c r="E1374" s="8" t="s">
        <v>5565</v>
      </c>
    </row>
    <row r="1375" spans="1:9" s="148" customFormat="1" x14ac:dyDescent="0.25">
      <c r="A1375" s="147"/>
      <c r="B1375" s="147"/>
      <c r="C1375" s="147"/>
      <c r="D1375" s="147"/>
      <c r="E1375" s="147"/>
      <c r="F1375" s="147"/>
      <c r="G1375" s="147"/>
      <c r="H1375" s="147"/>
      <c r="I1375" s="147"/>
    </row>
    <row r="1376" spans="1:9" ht="15" x14ac:dyDescent="0.25">
      <c r="A1376" t="s">
        <v>5643</v>
      </c>
      <c r="B1376" s="8">
        <v>1</v>
      </c>
      <c r="C1376" s="8" t="s">
        <v>709</v>
      </c>
      <c r="D1376" s="8" t="s">
        <v>141</v>
      </c>
      <c r="E1376" s="8" t="s">
        <v>1331</v>
      </c>
    </row>
    <row r="1377" spans="1:9" ht="15" x14ac:dyDescent="0.25">
      <c r="A1377" t="s">
        <v>5643</v>
      </c>
      <c r="B1377" s="8">
        <v>2</v>
      </c>
      <c r="C1377" s="8" t="s">
        <v>142</v>
      </c>
      <c r="D1377" s="8" t="s">
        <v>143</v>
      </c>
      <c r="E1377" s="8" t="s">
        <v>1332</v>
      </c>
    </row>
    <row r="1378" spans="1:9" ht="15" x14ac:dyDescent="0.25">
      <c r="A1378" t="s">
        <v>5643</v>
      </c>
      <c r="B1378" s="8">
        <v>3</v>
      </c>
      <c r="C1378" s="8" t="s">
        <v>144</v>
      </c>
      <c r="D1378" s="8" t="s">
        <v>5009</v>
      </c>
      <c r="E1378" s="8" t="s">
        <v>1333</v>
      </c>
    </row>
    <row r="1379" spans="1:9" ht="15" x14ac:dyDescent="0.25">
      <c r="A1379" t="s">
        <v>5643</v>
      </c>
      <c r="B1379" s="8">
        <v>4</v>
      </c>
      <c r="C1379" s="8" t="s">
        <v>710</v>
      </c>
      <c r="D1379" s="8" t="s">
        <v>146</v>
      </c>
      <c r="E1379" s="8" t="s">
        <v>1334</v>
      </c>
    </row>
    <row r="1380" spans="1:9" s="148" customFormat="1" x14ac:dyDescent="0.25">
      <c r="A1380" s="147"/>
      <c r="B1380" s="147"/>
      <c r="C1380" s="147"/>
      <c r="D1380" s="147"/>
      <c r="E1380" s="147"/>
      <c r="F1380" s="147"/>
      <c r="G1380" s="147"/>
      <c r="H1380" s="147"/>
      <c r="I1380" s="147"/>
    </row>
    <row r="1381" spans="1:9" ht="15" x14ac:dyDescent="0.25">
      <c r="A1381" t="s">
        <v>5644</v>
      </c>
      <c r="B1381" s="8">
        <v>1</v>
      </c>
      <c r="C1381" s="8" t="s">
        <v>5616</v>
      </c>
      <c r="D1381" s="8" t="s">
        <v>5618</v>
      </c>
      <c r="E1381" s="8" t="s">
        <v>5620</v>
      </c>
    </row>
    <row r="1382" spans="1:9" ht="15" x14ac:dyDescent="0.25">
      <c r="A1382" t="s">
        <v>5644</v>
      </c>
      <c r="B1382" s="8">
        <v>2</v>
      </c>
      <c r="C1382" s="8" t="s">
        <v>5617</v>
      </c>
      <c r="D1382" s="8" t="s">
        <v>5619</v>
      </c>
      <c r="E1382" s="8" t="s">
        <v>5621</v>
      </c>
    </row>
    <row r="1383" spans="1:9" s="148" customFormat="1" x14ac:dyDescent="0.25">
      <c r="A1383" s="147"/>
      <c r="B1383" s="147"/>
      <c r="C1383" s="147"/>
      <c r="D1383" s="147"/>
      <c r="E1383" s="147"/>
      <c r="F1383" s="147"/>
      <c r="G1383" s="147"/>
      <c r="H1383" s="147"/>
      <c r="I1383" s="147"/>
    </row>
    <row r="1384" spans="1:9" ht="15" x14ac:dyDescent="0.25">
      <c r="A1384" t="s">
        <v>5645</v>
      </c>
      <c r="B1384" s="8">
        <v>1</v>
      </c>
      <c r="C1384" s="8" t="s">
        <v>5616</v>
      </c>
      <c r="D1384" s="8" t="s">
        <v>5618</v>
      </c>
      <c r="E1384" s="8" t="s">
        <v>5620</v>
      </c>
    </row>
    <row r="1385" spans="1:9" ht="15" x14ac:dyDescent="0.25">
      <c r="A1385" t="s">
        <v>5645</v>
      </c>
      <c r="B1385" s="8">
        <v>2</v>
      </c>
      <c r="C1385" s="8" t="s">
        <v>5622</v>
      </c>
      <c r="D1385" s="8" t="s">
        <v>5623</v>
      </c>
      <c r="E1385" s="8" t="s">
        <v>5624</v>
      </c>
    </row>
    <row r="1386" spans="1:9" s="148" customFormat="1" x14ac:dyDescent="0.25">
      <c r="A1386" s="147"/>
      <c r="B1386" s="147"/>
      <c r="C1386" s="147"/>
      <c r="D1386" s="147"/>
      <c r="E1386" s="147"/>
      <c r="F1386" s="147"/>
      <c r="G1386" s="147"/>
      <c r="H1386" s="147"/>
      <c r="I1386" s="147"/>
    </row>
    <row r="1387" spans="1:9" ht="15" x14ac:dyDescent="0.25">
      <c r="A1387" t="s">
        <v>5646</v>
      </c>
      <c r="B1387" s="8">
        <v>1</v>
      </c>
      <c r="C1387" s="8" t="s">
        <v>5617</v>
      </c>
      <c r="D1387" s="8" t="s">
        <v>5619</v>
      </c>
      <c r="E1387" s="8" t="s">
        <v>5621</v>
      </c>
    </row>
    <row r="1388" spans="1:9" ht="15" x14ac:dyDescent="0.25">
      <c r="A1388" t="s">
        <v>5646</v>
      </c>
      <c r="B1388" s="8">
        <v>2</v>
      </c>
      <c r="C1388" s="8" t="s">
        <v>5622</v>
      </c>
      <c r="D1388" s="8" t="s">
        <v>5623</v>
      </c>
      <c r="E1388" s="8" t="s">
        <v>5624</v>
      </c>
    </row>
    <row r="1389" spans="1:9" s="148" customFormat="1" x14ac:dyDescent="0.25">
      <c r="A1389" s="147"/>
      <c r="B1389" s="147"/>
      <c r="C1389" s="147"/>
      <c r="D1389" s="147"/>
      <c r="E1389" s="147"/>
      <c r="F1389" s="147"/>
      <c r="G1389" s="147"/>
      <c r="H1389" s="147"/>
      <c r="I1389" s="147"/>
    </row>
    <row r="1390" spans="1:9" x14ac:dyDescent="0.25">
      <c r="A1390" s="8" t="s">
        <v>5701</v>
      </c>
      <c r="B1390" s="8">
        <v>1</v>
      </c>
      <c r="C1390" s="8" t="s">
        <v>5702</v>
      </c>
      <c r="D1390" s="8" t="s">
        <v>5707</v>
      </c>
      <c r="E1390" s="8" t="s">
        <v>5712</v>
      </c>
    </row>
    <row r="1391" spans="1:9" x14ac:dyDescent="0.25">
      <c r="A1391" s="8" t="s">
        <v>5701</v>
      </c>
      <c r="B1391" s="8">
        <v>2</v>
      </c>
      <c r="C1391" s="8" t="s">
        <v>5703</v>
      </c>
      <c r="D1391" s="8" t="s">
        <v>5708</v>
      </c>
      <c r="E1391" s="8" t="s">
        <v>5713</v>
      </c>
    </row>
    <row r="1392" spans="1:9" x14ac:dyDescent="0.25">
      <c r="A1392" s="8" t="s">
        <v>5701</v>
      </c>
      <c r="B1392" s="8">
        <v>3</v>
      </c>
      <c r="C1392" s="8" t="s">
        <v>5704</v>
      </c>
      <c r="D1392" s="8" t="s">
        <v>5709</v>
      </c>
      <c r="E1392" s="8" t="s">
        <v>5714</v>
      </c>
    </row>
    <row r="1393" spans="1:9" x14ac:dyDescent="0.25">
      <c r="A1393" s="8" t="s">
        <v>5701</v>
      </c>
      <c r="B1393" s="8">
        <v>4</v>
      </c>
      <c r="C1393" s="8" t="s">
        <v>5705</v>
      </c>
      <c r="D1393" s="8" t="s">
        <v>5710</v>
      </c>
      <c r="E1393" s="8" t="s">
        <v>5715</v>
      </c>
    </row>
    <row r="1394" spans="1:9" x14ac:dyDescent="0.25">
      <c r="A1394" s="8" t="s">
        <v>5701</v>
      </c>
      <c r="B1394" s="8">
        <v>5</v>
      </c>
      <c r="C1394" s="8" t="s">
        <v>5706</v>
      </c>
      <c r="D1394" s="8" t="s">
        <v>5711</v>
      </c>
      <c r="E1394" s="8" t="s">
        <v>5716</v>
      </c>
    </row>
    <row r="1395" spans="1:9" s="148" customFormat="1" x14ac:dyDescent="0.25">
      <c r="A1395" s="147"/>
      <c r="B1395" s="147"/>
      <c r="C1395" s="147"/>
      <c r="D1395" s="147"/>
      <c r="E1395" s="147"/>
      <c r="F1395" s="147"/>
      <c r="G1395" s="147"/>
      <c r="H1395" s="147"/>
      <c r="I1395" s="147"/>
    </row>
    <row r="1396" spans="1:9" x14ac:dyDescent="0.25">
      <c r="A1396" s="8" t="s">
        <v>5789</v>
      </c>
      <c r="B1396" s="8">
        <v>1</v>
      </c>
      <c r="C1396" s="8" t="s">
        <v>5790</v>
      </c>
      <c r="D1396" s="8" t="s">
        <v>5797</v>
      </c>
      <c r="E1396" s="8" t="s">
        <v>5803</v>
      </c>
    </row>
    <row r="1397" spans="1:9" x14ac:dyDescent="0.25">
      <c r="A1397" s="8" t="s">
        <v>5789</v>
      </c>
      <c r="B1397" s="8">
        <v>2</v>
      </c>
      <c r="C1397" s="8" t="s">
        <v>5791</v>
      </c>
      <c r="D1397" s="8" t="s">
        <v>5798</v>
      </c>
      <c r="E1397" s="8" t="s">
        <v>5804</v>
      </c>
    </row>
    <row r="1398" spans="1:9" x14ac:dyDescent="0.25">
      <c r="A1398" s="8" t="s">
        <v>5789</v>
      </c>
      <c r="B1398" s="8">
        <v>3</v>
      </c>
      <c r="C1398" s="8" t="s">
        <v>5792</v>
      </c>
      <c r="D1398" s="8" t="s">
        <v>5799</v>
      </c>
      <c r="E1398" s="8" t="s">
        <v>5805</v>
      </c>
    </row>
    <row r="1399" spans="1:9" x14ac:dyDescent="0.25">
      <c r="A1399" s="8" t="s">
        <v>5789</v>
      </c>
      <c r="B1399" s="8">
        <v>4</v>
      </c>
      <c r="C1399" s="8" t="s">
        <v>5793</v>
      </c>
      <c r="D1399" s="8" t="s">
        <v>5800</v>
      </c>
      <c r="E1399" s="8" t="s">
        <v>5806</v>
      </c>
    </row>
    <row r="1400" spans="1:9" x14ac:dyDescent="0.25">
      <c r="A1400" s="8" t="s">
        <v>5789</v>
      </c>
      <c r="B1400" s="8">
        <v>5</v>
      </c>
      <c r="C1400" s="8" t="s">
        <v>5794</v>
      </c>
      <c r="D1400" s="8" t="s">
        <v>5801</v>
      </c>
      <c r="E1400" s="8" t="s">
        <v>5807</v>
      </c>
    </row>
    <row r="1401" spans="1:9" x14ac:dyDescent="0.25">
      <c r="A1401" s="8" t="s">
        <v>5789</v>
      </c>
      <c r="B1401" s="8">
        <v>6</v>
      </c>
      <c r="C1401" s="8" t="s">
        <v>5795</v>
      </c>
      <c r="D1401" s="8" t="s">
        <v>5802</v>
      </c>
      <c r="E1401" s="8" t="s">
        <v>5808</v>
      </c>
    </row>
    <row r="1402" spans="1:9" x14ac:dyDescent="0.25">
      <c r="A1402" s="8" t="s">
        <v>5789</v>
      </c>
      <c r="B1402" s="8">
        <v>96</v>
      </c>
      <c r="C1402" s="8" t="s">
        <v>5796</v>
      </c>
      <c r="D1402" s="8" t="s">
        <v>5364</v>
      </c>
      <c r="E1402" s="8" t="s">
        <v>5591</v>
      </c>
    </row>
    <row r="1403" spans="1:9" s="148" customFormat="1" x14ac:dyDescent="0.25">
      <c r="A1403" s="147"/>
      <c r="B1403" s="147"/>
      <c r="C1403" s="147"/>
      <c r="D1403" s="147"/>
      <c r="E1403" s="147"/>
      <c r="F1403" s="147"/>
      <c r="G1403" s="147"/>
      <c r="H1403" s="147"/>
      <c r="I1403" s="147"/>
    </row>
    <row r="1404" spans="1:9" x14ac:dyDescent="0.25">
      <c r="A1404" s="8" t="s">
        <v>5824</v>
      </c>
      <c r="B1404" s="8">
        <v>1</v>
      </c>
      <c r="C1404" s="8" t="s">
        <v>5809</v>
      </c>
      <c r="D1404" s="8" t="s">
        <v>5814</v>
      </c>
      <c r="E1404" s="8" t="s">
        <v>5819</v>
      </c>
    </row>
    <row r="1405" spans="1:9" x14ac:dyDescent="0.25">
      <c r="A1405" s="8" t="s">
        <v>5824</v>
      </c>
      <c r="B1405" s="8">
        <v>2</v>
      </c>
      <c r="C1405" s="8" t="s">
        <v>5810</v>
      </c>
      <c r="D1405" s="8" t="s">
        <v>5815</v>
      </c>
      <c r="E1405" s="8" t="s">
        <v>5820</v>
      </c>
    </row>
    <row r="1406" spans="1:9" x14ac:dyDescent="0.25">
      <c r="A1406" s="8" t="s">
        <v>5824</v>
      </c>
      <c r="B1406" s="8">
        <v>3</v>
      </c>
      <c r="C1406" s="8" t="s">
        <v>5811</v>
      </c>
      <c r="D1406" s="8" t="s">
        <v>5816</v>
      </c>
      <c r="E1406" s="8" t="s">
        <v>5821</v>
      </c>
    </row>
    <row r="1407" spans="1:9" x14ac:dyDescent="0.25">
      <c r="A1407" s="8" t="s">
        <v>5824</v>
      </c>
      <c r="B1407" s="8">
        <v>4</v>
      </c>
      <c r="C1407" s="8" t="s">
        <v>5812</v>
      </c>
      <c r="D1407" s="8" t="s">
        <v>5817</v>
      </c>
      <c r="E1407" s="8" t="s">
        <v>5822</v>
      </c>
    </row>
    <row r="1408" spans="1:9" x14ac:dyDescent="0.25">
      <c r="A1408" s="8" t="s">
        <v>5824</v>
      </c>
      <c r="B1408" s="8">
        <v>5</v>
      </c>
      <c r="C1408" s="8" t="s">
        <v>5813</v>
      </c>
      <c r="D1408" s="8" t="s">
        <v>5818</v>
      </c>
      <c r="E1408" s="8" t="s">
        <v>5823</v>
      </c>
    </row>
    <row r="1409" spans="1:9" x14ac:dyDescent="0.25">
      <c r="A1409" s="8" t="s">
        <v>5824</v>
      </c>
      <c r="B1409" s="8">
        <v>96</v>
      </c>
      <c r="C1409" s="8" t="s">
        <v>5796</v>
      </c>
      <c r="D1409" s="8" t="s">
        <v>5582</v>
      </c>
      <c r="E1409" s="8" t="s">
        <v>5591</v>
      </c>
    </row>
    <row r="1410" spans="1:9" s="148" customFormat="1" x14ac:dyDescent="0.25">
      <c r="A1410" s="147"/>
      <c r="B1410" s="147"/>
      <c r="C1410" s="147"/>
      <c r="D1410" s="147"/>
      <c r="E1410" s="147"/>
      <c r="F1410" s="147"/>
      <c r="G1410" s="147"/>
      <c r="H1410" s="147"/>
      <c r="I1410" s="147"/>
    </row>
    <row r="1411" spans="1:9" x14ac:dyDescent="0.25">
      <c r="A1411" s="8" t="s">
        <v>6019</v>
      </c>
      <c r="B1411" s="8">
        <v>1</v>
      </c>
      <c r="C1411" s="8" t="s">
        <v>5216</v>
      </c>
      <c r="D1411" s="8" t="s">
        <v>5221</v>
      </c>
      <c r="E1411" s="8" t="s">
        <v>5226</v>
      </c>
    </row>
    <row r="1412" spans="1:9" x14ac:dyDescent="0.25">
      <c r="A1412" s="8" t="s">
        <v>6019</v>
      </c>
      <c r="B1412" s="8">
        <v>2</v>
      </c>
      <c r="C1412" s="8" t="s">
        <v>5217</v>
      </c>
      <c r="D1412" s="8" t="s">
        <v>5222</v>
      </c>
      <c r="E1412" s="8" t="s">
        <v>5227</v>
      </c>
    </row>
    <row r="1413" spans="1:9" x14ac:dyDescent="0.25">
      <c r="A1413" s="8" t="s">
        <v>6019</v>
      </c>
      <c r="B1413" s="8">
        <v>3</v>
      </c>
      <c r="C1413" s="8" t="s">
        <v>5218</v>
      </c>
      <c r="D1413" s="8" t="s">
        <v>5223</v>
      </c>
      <c r="E1413" s="8" t="s">
        <v>5228</v>
      </c>
    </row>
    <row r="1414" spans="1:9" x14ac:dyDescent="0.25">
      <c r="A1414" s="8" t="s">
        <v>6019</v>
      </c>
      <c r="B1414" s="8">
        <v>4</v>
      </c>
      <c r="C1414" s="8" t="s">
        <v>5219</v>
      </c>
      <c r="D1414" s="8" t="s">
        <v>5224</v>
      </c>
      <c r="E1414" s="8" t="s">
        <v>5229</v>
      </c>
    </row>
    <row r="1415" spans="1:9" x14ac:dyDescent="0.25">
      <c r="A1415" s="8" t="s">
        <v>6019</v>
      </c>
      <c r="B1415" s="8">
        <v>5</v>
      </c>
      <c r="C1415" s="8" t="s">
        <v>5220</v>
      </c>
      <c r="D1415" s="8" t="s">
        <v>5225</v>
      </c>
      <c r="E1415" s="8" t="s">
        <v>5230</v>
      </c>
    </row>
    <row r="1416" spans="1:9" x14ac:dyDescent="0.25">
      <c r="A1416" s="8" t="s">
        <v>6019</v>
      </c>
      <c r="B1416" s="8">
        <v>6</v>
      </c>
      <c r="C1416" s="8" t="s">
        <v>4518</v>
      </c>
      <c r="D1416" s="8" t="s">
        <v>86</v>
      </c>
      <c r="E1416" s="8" t="s">
        <v>1191</v>
      </c>
    </row>
    <row r="1417" spans="1:9" s="148" customFormat="1" x14ac:dyDescent="0.25">
      <c r="A1417" s="147"/>
      <c r="B1417" s="147"/>
      <c r="C1417" s="147"/>
      <c r="D1417" s="147"/>
      <c r="E1417" s="147"/>
      <c r="F1417" s="147"/>
      <c r="G1417" s="147"/>
      <c r="H1417" s="147"/>
      <c r="I1417" s="147"/>
    </row>
    <row r="1418" spans="1:9" x14ac:dyDescent="0.25">
      <c r="A1418" s="8" t="s">
        <v>6020</v>
      </c>
      <c r="B1418" s="8">
        <v>1</v>
      </c>
      <c r="C1418" s="8" t="s">
        <v>5281</v>
      </c>
      <c r="D1418" s="8" t="s">
        <v>5284</v>
      </c>
      <c r="E1418" s="8" t="s">
        <v>5286</v>
      </c>
    </row>
    <row r="1419" spans="1:9" x14ac:dyDescent="0.25">
      <c r="A1419" s="8" t="s">
        <v>6020</v>
      </c>
      <c r="B1419" s="8">
        <v>2</v>
      </c>
      <c r="C1419" s="8" t="s">
        <v>5282</v>
      </c>
      <c r="D1419" s="8" t="s">
        <v>5285</v>
      </c>
      <c r="E1419" s="8" t="s">
        <v>5287</v>
      </c>
    </row>
    <row r="1420" spans="1:9" x14ac:dyDescent="0.25">
      <c r="A1420" s="8" t="s">
        <v>6020</v>
      </c>
      <c r="B1420" s="8">
        <v>3</v>
      </c>
      <c r="C1420" s="8" t="s">
        <v>5283</v>
      </c>
      <c r="D1420" s="8" t="s">
        <v>3858</v>
      </c>
      <c r="E1420" s="8" t="s">
        <v>3863</v>
      </c>
    </row>
    <row r="1421" spans="1:9" s="148" customFormat="1" x14ac:dyDescent="0.25">
      <c r="A1421" s="147"/>
      <c r="B1421" s="147"/>
      <c r="C1421" s="147"/>
      <c r="D1421" s="147"/>
      <c r="E1421" s="147"/>
      <c r="F1421" s="147"/>
      <c r="G1421" s="147"/>
      <c r="H1421" s="147"/>
      <c r="I1421" s="147"/>
    </row>
    <row r="1422" spans="1:9" ht="15" x14ac:dyDescent="0.25">
      <c r="A1422" s="8" t="s">
        <v>6029</v>
      </c>
      <c r="B1422" s="8">
        <v>1</v>
      </c>
      <c r="C1422" s="8" t="s">
        <v>5288</v>
      </c>
      <c r="D1422" s="8" t="s">
        <v>5298</v>
      </c>
      <c r="E1422" s="8" t="s">
        <v>5308</v>
      </c>
      <c r="F1422"/>
    </row>
    <row r="1423" spans="1:9" ht="15" x14ac:dyDescent="0.25">
      <c r="A1423" s="8" t="s">
        <v>6029</v>
      </c>
      <c r="B1423" s="8">
        <v>2</v>
      </c>
      <c r="C1423" s="8" t="s">
        <v>5289</v>
      </c>
      <c r="D1423" s="8" t="s">
        <v>5299</v>
      </c>
      <c r="E1423" s="8" t="s">
        <v>5309</v>
      </c>
      <c r="F1423"/>
    </row>
    <row r="1424" spans="1:9" ht="15" x14ac:dyDescent="0.25">
      <c r="A1424" s="8" t="s">
        <v>6029</v>
      </c>
      <c r="B1424" s="8">
        <v>3</v>
      </c>
      <c r="C1424" s="8" t="s">
        <v>5290</v>
      </c>
      <c r="D1424" s="8" t="s">
        <v>5300</v>
      </c>
      <c r="E1424" s="8" t="s">
        <v>5310</v>
      </c>
      <c r="F1424"/>
    </row>
    <row r="1425" spans="1:9" ht="15" x14ac:dyDescent="0.25">
      <c r="A1425" s="8" t="s">
        <v>6029</v>
      </c>
      <c r="B1425" s="8">
        <v>4</v>
      </c>
      <c r="C1425" s="8" t="s">
        <v>5291</v>
      </c>
      <c r="D1425" s="8" t="s">
        <v>5301</v>
      </c>
      <c r="E1425" s="8" t="s">
        <v>5311</v>
      </c>
      <c r="F1425"/>
    </row>
    <row r="1426" spans="1:9" ht="15" x14ac:dyDescent="0.25">
      <c r="A1426" s="8" t="s">
        <v>6029</v>
      </c>
      <c r="B1426" s="8">
        <v>5</v>
      </c>
      <c r="C1426" s="8" t="s">
        <v>5292</v>
      </c>
      <c r="D1426" s="8" t="s">
        <v>5302</v>
      </c>
      <c r="E1426" s="8" t="s">
        <v>5312</v>
      </c>
      <c r="F1426"/>
    </row>
    <row r="1427" spans="1:9" ht="15" x14ac:dyDescent="0.25">
      <c r="A1427" s="8" t="s">
        <v>6029</v>
      </c>
      <c r="B1427" s="8">
        <v>6</v>
      </c>
      <c r="C1427" s="8" t="s">
        <v>5293</v>
      </c>
      <c r="D1427" s="8" t="s">
        <v>5303</v>
      </c>
      <c r="E1427" s="8" t="s">
        <v>5313</v>
      </c>
      <c r="F1427"/>
    </row>
    <row r="1428" spans="1:9" ht="15" x14ac:dyDescent="0.25">
      <c r="A1428" s="8" t="s">
        <v>6029</v>
      </c>
      <c r="B1428" s="8">
        <v>7</v>
      </c>
      <c r="C1428" s="8" t="s">
        <v>5294</v>
      </c>
      <c r="D1428" s="8" t="s">
        <v>5304</v>
      </c>
      <c r="E1428" s="8" t="s">
        <v>5314</v>
      </c>
      <c r="F1428"/>
    </row>
    <row r="1429" spans="1:9" ht="15" x14ac:dyDescent="0.25">
      <c r="A1429" s="8" t="s">
        <v>6029</v>
      </c>
      <c r="B1429" s="8">
        <v>8</v>
      </c>
      <c r="C1429" s="8" t="s">
        <v>5295</v>
      </c>
      <c r="D1429" s="8" t="s">
        <v>5305</v>
      </c>
      <c r="E1429" s="8" t="s">
        <v>5315</v>
      </c>
      <c r="F1429"/>
    </row>
    <row r="1430" spans="1:9" ht="15" x14ac:dyDescent="0.25">
      <c r="A1430" s="8" t="s">
        <v>6029</v>
      </c>
      <c r="B1430" s="8">
        <v>9</v>
      </c>
      <c r="C1430" s="8" t="s">
        <v>5296</v>
      </c>
      <c r="D1430" s="8" t="s">
        <v>5306</v>
      </c>
      <c r="E1430" s="8" t="s">
        <v>5316</v>
      </c>
      <c r="F1430"/>
    </row>
    <row r="1431" spans="1:9" ht="15" x14ac:dyDescent="0.25">
      <c r="A1431" s="8" t="s">
        <v>6029</v>
      </c>
      <c r="B1431" s="8">
        <v>10</v>
      </c>
      <c r="C1431" s="8" t="s">
        <v>5297</v>
      </c>
      <c r="D1431" s="8" t="s">
        <v>5307</v>
      </c>
      <c r="E1431" s="8" t="s">
        <v>5317</v>
      </c>
      <c r="F1431"/>
    </row>
    <row r="1432" spans="1:9" ht="15" x14ac:dyDescent="0.25">
      <c r="A1432" s="8" t="s">
        <v>6029</v>
      </c>
      <c r="B1432" s="8">
        <v>96</v>
      </c>
      <c r="C1432" s="8" t="s">
        <v>3662</v>
      </c>
      <c r="D1432" s="8" t="s">
        <v>2008</v>
      </c>
      <c r="E1432" s="8" t="s">
        <v>1150</v>
      </c>
      <c r="F1432"/>
    </row>
    <row r="1433" spans="1:9" s="148" customFormat="1" x14ac:dyDescent="0.25">
      <c r="A1433" s="147"/>
      <c r="B1433" s="147"/>
      <c r="C1433" s="147"/>
      <c r="D1433" s="147"/>
      <c r="E1433" s="147"/>
      <c r="F1433" s="147"/>
      <c r="G1433" s="147"/>
      <c r="H1433" s="147"/>
      <c r="I1433" s="147"/>
    </row>
    <row r="1434" spans="1:9" x14ac:dyDescent="0.25">
      <c r="A1434" s="8" t="s">
        <v>6021</v>
      </c>
      <c r="B1434" s="8">
        <v>1</v>
      </c>
      <c r="C1434" s="8" t="s">
        <v>5925</v>
      </c>
      <c r="D1434" s="8" t="s">
        <v>5322</v>
      </c>
      <c r="E1434" s="8" t="s">
        <v>5326</v>
      </c>
    </row>
    <row r="1435" spans="1:9" x14ac:dyDescent="0.25">
      <c r="A1435" s="8" t="s">
        <v>6021</v>
      </c>
      <c r="B1435" s="8">
        <v>2</v>
      </c>
      <c r="C1435" s="8" t="s">
        <v>5926</v>
      </c>
      <c r="D1435" s="8" t="s">
        <v>5323</v>
      </c>
      <c r="E1435" s="8" t="s">
        <v>5327</v>
      </c>
    </row>
    <row r="1436" spans="1:9" x14ac:dyDescent="0.25">
      <c r="A1436" s="8" t="s">
        <v>6021</v>
      </c>
      <c r="B1436" s="8">
        <v>3</v>
      </c>
      <c r="C1436" s="8" t="s">
        <v>5927</v>
      </c>
      <c r="D1436" s="8" t="s">
        <v>5324</v>
      </c>
      <c r="E1436" s="8" t="s">
        <v>5328</v>
      </c>
    </row>
    <row r="1437" spans="1:9" x14ac:dyDescent="0.25">
      <c r="A1437" s="8" t="s">
        <v>6021</v>
      </c>
      <c r="B1437" s="8">
        <v>4</v>
      </c>
      <c r="C1437" s="8" t="s">
        <v>5928</v>
      </c>
      <c r="D1437" s="8" t="s">
        <v>5325</v>
      </c>
      <c r="E1437" s="8" t="s">
        <v>5329</v>
      </c>
    </row>
    <row r="1438" spans="1:9" s="148" customFormat="1" x14ac:dyDescent="0.25">
      <c r="A1438" s="147"/>
      <c r="B1438" s="147"/>
      <c r="C1438" s="147"/>
      <c r="D1438" s="147"/>
      <c r="E1438" s="147"/>
      <c r="F1438" s="147"/>
      <c r="G1438" s="147"/>
      <c r="H1438" s="147"/>
      <c r="I1438" s="147"/>
    </row>
    <row r="1439" spans="1:9" x14ac:dyDescent="0.25">
      <c r="A1439" s="8" t="s">
        <v>6030</v>
      </c>
      <c r="B1439" s="8">
        <v>1</v>
      </c>
      <c r="C1439" s="8" t="s">
        <v>5330</v>
      </c>
      <c r="D1439" s="8" t="s">
        <v>5933</v>
      </c>
      <c r="E1439" s="8" t="s">
        <v>5348</v>
      </c>
    </row>
    <row r="1440" spans="1:9" x14ac:dyDescent="0.25">
      <c r="A1440" s="8" t="s">
        <v>6030</v>
      </c>
      <c r="B1440" s="8">
        <v>2</v>
      </c>
      <c r="C1440" s="8" t="s">
        <v>5929</v>
      </c>
      <c r="D1440" s="8" t="s">
        <v>5934</v>
      </c>
      <c r="E1440" s="8" t="s">
        <v>5939</v>
      </c>
    </row>
    <row r="1441" spans="1:9" x14ac:dyDescent="0.25">
      <c r="A1441" s="8" t="s">
        <v>6030</v>
      </c>
      <c r="B1441" s="8">
        <v>3</v>
      </c>
      <c r="C1441" s="8" t="s">
        <v>5930</v>
      </c>
      <c r="D1441" s="8" t="s">
        <v>5935</v>
      </c>
      <c r="E1441" s="8" t="s">
        <v>5940</v>
      </c>
    </row>
    <row r="1442" spans="1:9" x14ac:dyDescent="0.25">
      <c r="A1442" s="8" t="s">
        <v>6030</v>
      </c>
      <c r="B1442" s="8">
        <v>4</v>
      </c>
      <c r="C1442" s="8" t="s">
        <v>5931</v>
      </c>
      <c r="D1442" s="8" t="s">
        <v>5936</v>
      </c>
      <c r="E1442" s="8" t="s">
        <v>5941</v>
      </c>
    </row>
    <row r="1443" spans="1:9" x14ac:dyDescent="0.25">
      <c r="A1443" s="8" t="s">
        <v>6030</v>
      </c>
      <c r="B1443" s="8">
        <v>5</v>
      </c>
      <c r="C1443" s="8" t="s">
        <v>5932</v>
      </c>
      <c r="D1443" s="8" t="s">
        <v>5937</v>
      </c>
      <c r="E1443" s="8" t="s">
        <v>5942</v>
      </c>
    </row>
    <row r="1444" spans="1:9" x14ac:dyDescent="0.25">
      <c r="A1444" s="8" t="s">
        <v>6030</v>
      </c>
      <c r="B1444" s="8">
        <v>6</v>
      </c>
      <c r="C1444" s="8" t="s">
        <v>5335</v>
      </c>
      <c r="D1444" s="8" t="s">
        <v>5344</v>
      </c>
      <c r="E1444" s="8" t="s">
        <v>5353</v>
      </c>
    </row>
    <row r="1445" spans="1:9" x14ac:dyDescent="0.25">
      <c r="A1445" s="8" t="s">
        <v>6030</v>
      </c>
      <c r="B1445" s="8">
        <v>7</v>
      </c>
      <c r="C1445" s="8" t="s">
        <v>5336</v>
      </c>
      <c r="D1445" s="8" t="s">
        <v>5345</v>
      </c>
      <c r="E1445" s="8" t="s">
        <v>5354</v>
      </c>
    </row>
    <row r="1446" spans="1:9" x14ac:dyDescent="0.25">
      <c r="A1446" s="8" t="s">
        <v>6030</v>
      </c>
      <c r="B1446" s="8">
        <v>8</v>
      </c>
      <c r="C1446" s="8" t="s">
        <v>5337</v>
      </c>
      <c r="D1446" s="8" t="s">
        <v>5938</v>
      </c>
      <c r="E1446" s="8" t="s">
        <v>5355</v>
      </c>
    </row>
    <row r="1447" spans="1:9" x14ac:dyDescent="0.25">
      <c r="A1447" s="8" t="s">
        <v>6030</v>
      </c>
      <c r="B1447" s="8">
        <v>96</v>
      </c>
      <c r="C1447" s="8" t="s">
        <v>913</v>
      </c>
      <c r="D1447" s="8" t="s">
        <v>79</v>
      </c>
      <c r="E1447" s="8" t="s">
        <v>1006</v>
      </c>
    </row>
    <row r="1448" spans="1:9" s="148" customFormat="1" x14ac:dyDescent="0.25">
      <c r="A1448" s="147"/>
      <c r="B1448" s="147"/>
      <c r="C1448" s="147"/>
      <c r="D1448" s="147"/>
      <c r="E1448" s="147"/>
      <c r="F1448" s="147"/>
      <c r="G1448" s="147"/>
      <c r="H1448" s="147"/>
      <c r="I1448" s="147"/>
    </row>
    <row r="1449" spans="1:9" x14ac:dyDescent="0.25">
      <c r="A1449" s="8" t="s">
        <v>6022</v>
      </c>
      <c r="B1449" s="8">
        <v>1</v>
      </c>
      <c r="C1449" s="8" t="s">
        <v>709</v>
      </c>
      <c r="D1449" s="8" t="s">
        <v>141</v>
      </c>
      <c r="E1449" s="8" t="s">
        <v>1331</v>
      </c>
    </row>
    <row r="1450" spans="1:9" x14ac:dyDescent="0.25">
      <c r="A1450" s="8" t="s">
        <v>6022</v>
      </c>
      <c r="B1450" s="8">
        <v>2</v>
      </c>
      <c r="C1450" s="8" t="s">
        <v>142</v>
      </c>
      <c r="D1450" s="8" t="s">
        <v>143</v>
      </c>
      <c r="E1450" s="8" t="s">
        <v>1332</v>
      </c>
    </row>
    <row r="1451" spans="1:9" x14ac:dyDescent="0.25">
      <c r="A1451" s="8" t="s">
        <v>6022</v>
      </c>
      <c r="B1451" s="8">
        <v>3</v>
      </c>
      <c r="C1451" s="8" t="s">
        <v>144</v>
      </c>
      <c r="D1451" s="8" t="s">
        <v>145</v>
      </c>
      <c r="E1451" s="8" t="s">
        <v>1333</v>
      </c>
    </row>
    <row r="1452" spans="1:9" x14ac:dyDescent="0.25">
      <c r="A1452" s="8" t="s">
        <v>6022</v>
      </c>
      <c r="B1452" s="8">
        <v>4</v>
      </c>
      <c r="C1452" s="8" t="s">
        <v>710</v>
      </c>
      <c r="D1452" s="8" t="s">
        <v>146</v>
      </c>
      <c r="E1452" s="8" t="s">
        <v>1334</v>
      </c>
    </row>
    <row r="1453" spans="1:9" s="148" customFormat="1" x14ac:dyDescent="0.25">
      <c r="A1453" s="147"/>
      <c r="B1453" s="147"/>
      <c r="C1453" s="147"/>
      <c r="D1453" s="147"/>
      <c r="E1453" s="147"/>
      <c r="F1453" s="147"/>
      <c r="G1453" s="147"/>
      <c r="H1453" s="147"/>
      <c r="I1453" s="147"/>
    </row>
    <row r="1454" spans="1:9" x14ac:dyDescent="0.25">
      <c r="A1454" s="8" t="s">
        <v>6023</v>
      </c>
      <c r="B1454" s="8">
        <v>1</v>
      </c>
      <c r="C1454" s="8" t="s">
        <v>5943</v>
      </c>
      <c r="D1454" s="8" t="s">
        <v>5951</v>
      </c>
      <c r="E1454" s="8" t="s">
        <v>5959</v>
      </c>
    </row>
    <row r="1455" spans="1:9" x14ac:dyDescent="0.25">
      <c r="A1455" s="8" t="s">
        <v>6023</v>
      </c>
      <c r="B1455" s="8">
        <v>2</v>
      </c>
      <c r="C1455" s="8" t="s">
        <v>5944</v>
      </c>
      <c r="D1455" s="8" t="s">
        <v>5952</v>
      </c>
      <c r="E1455" s="8" t="s">
        <v>5960</v>
      </c>
    </row>
    <row r="1456" spans="1:9" x14ac:dyDescent="0.25">
      <c r="A1456" s="8" t="s">
        <v>6023</v>
      </c>
      <c r="B1456" s="8">
        <v>3</v>
      </c>
      <c r="C1456" s="8" t="s">
        <v>5945</v>
      </c>
      <c r="D1456" s="8" t="s">
        <v>5953</v>
      </c>
      <c r="E1456" s="8" t="s">
        <v>5961</v>
      </c>
    </row>
    <row r="1457" spans="1:9" x14ac:dyDescent="0.25">
      <c r="A1457" s="8" t="s">
        <v>6023</v>
      </c>
      <c r="B1457" s="8">
        <v>4</v>
      </c>
      <c r="C1457" s="8" t="s">
        <v>5946</v>
      </c>
      <c r="D1457" s="8" t="s">
        <v>5954</v>
      </c>
      <c r="E1457" s="8" t="s">
        <v>5962</v>
      </c>
    </row>
    <row r="1458" spans="1:9" x14ac:dyDescent="0.25">
      <c r="A1458" s="8" t="s">
        <v>6023</v>
      </c>
      <c r="B1458" s="8">
        <v>5</v>
      </c>
      <c r="C1458" s="8" t="s">
        <v>5947</v>
      </c>
      <c r="D1458" s="8" t="s">
        <v>5955</v>
      </c>
      <c r="E1458" s="8" t="s">
        <v>5963</v>
      </c>
    </row>
    <row r="1459" spans="1:9" x14ac:dyDescent="0.25">
      <c r="A1459" s="8" t="s">
        <v>6023</v>
      </c>
      <c r="B1459" s="8">
        <v>6</v>
      </c>
      <c r="C1459" s="8" t="s">
        <v>5948</v>
      </c>
      <c r="D1459" s="8" t="s">
        <v>5956</v>
      </c>
      <c r="E1459" s="8" t="s">
        <v>5964</v>
      </c>
    </row>
    <row r="1460" spans="1:9" x14ac:dyDescent="0.25">
      <c r="A1460" s="8" t="s">
        <v>6023</v>
      </c>
      <c r="B1460" s="8">
        <v>7</v>
      </c>
      <c r="C1460" s="8" t="s">
        <v>1984</v>
      </c>
      <c r="D1460" s="8" t="s">
        <v>5957</v>
      </c>
      <c r="E1460" s="8" t="s">
        <v>5965</v>
      </c>
    </row>
    <row r="1461" spans="1:9" x14ac:dyDescent="0.25">
      <c r="A1461" s="8" t="s">
        <v>6023</v>
      </c>
      <c r="B1461" s="8">
        <v>8</v>
      </c>
      <c r="C1461" s="8" t="s">
        <v>5949</v>
      </c>
      <c r="D1461" s="8" t="s">
        <v>5958</v>
      </c>
      <c r="E1461" s="8" t="s">
        <v>5966</v>
      </c>
    </row>
    <row r="1462" spans="1:9" x14ac:dyDescent="0.25">
      <c r="A1462" s="8" t="s">
        <v>6023</v>
      </c>
      <c r="B1462" s="8">
        <v>96</v>
      </c>
      <c r="C1462" s="8" t="s">
        <v>5950</v>
      </c>
      <c r="D1462" s="8" t="s">
        <v>2008</v>
      </c>
      <c r="E1462" s="8" t="s">
        <v>1150</v>
      </c>
    </row>
    <row r="1463" spans="1:9" s="148" customFormat="1" x14ac:dyDescent="0.25">
      <c r="A1463" s="147"/>
      <c r="B1463" s="147"/>
      <c r="C1463" s="147"/>
      <c r="D1463" s="147"/>
      <c r="E1463" s="147"/>
      <c r="F1463" s="147"/>
      <c r="G1463" s="147"/>
      <c r="H1463" s="147"/>
      <c r="I1463" s="147"/>
    </row>
    <row r="1464" spans="1:9" x14ac:dyDescent="0.25">
      <c r="A1464" s="8" t="s">
        <v>6024</v>
      </c>
      <c r="B1464" s="8">
        <v>1</v>
      </c>
      <c r="C1464" s="8" t="s">
        <v>709</v>
      </c>
      <c r="D1464" s="8" t="s">
        <v>141</v>
      </c>
      <c r="E1464" s="8" t="s">
        <v>1331</v>
      </c>
    </row>
    <row r="1465" spans="1:9" x14ac:dyDescent="0.25">
      <c r="A1465" s="8" t="s">
        <v>6024</v>
      </c>
      <c r="B1465" s="8">
        <v>2</v>
      </c>
      <c r="C1465" s="8" t="s">
        <v>142</v>
      </c>
      <c r="D1465" s="8" t="s">
        <v>143</v>
      </c>
      <c r="E1465" s="8" t="s">
        <v>1332</v>
      </c>
    </row>
    <row r="1466" spans="1:9" x14ac:dyDescent="0.25">
      <c r="A1466" s="8" t="s">
        <v>6024</v>
      </c>
      <c r="B1466" s="8">
        <v>3</v>
      </c>
      <c r="C1466" s="8" t="s">
        <v>144</v>
      </c>
      <c r="D1466" s="8" t="s">
        <v>145</v>
      </c>
      <c r="E1466" s="8" t="s">
        <v>1333</v>
      </c>
    </row>
    <row r="1467" spans="1:9" x14ac:dyDescent="0.25">
      <c r="A1467" s="8" t="s">
        <v>6024</v>
      </c>
      <c r="B1467" s="8">
        <v>4</v>
      </c>
      <c r="C1467" s="8" t="s">
        <v>710</v>
      </c>
      <c r="D1467" s="8" t="s">
        <v>146</v>
      </c>
      <c r="E1467" s="8" t="s">
        <v>1334</v>
      </c>
    </row>
    <row r="1468" spans="1:9" s="148" customFormat="1" x14ac:dyDescent="0.25">
      <c r="A1468" s="147"/>
      <c r="B1468" s="147"/>
      <c r="C1468" s="147"/>
      <c r="D1468" s="147"/>
      <c r="E1468" s="147"/>
      <c r="F1468" s="147"/>
      <c r="G1468" s="147"/>
      <c r="H1468" s="147"/>
      <c r="I1468" s="147"/>
    </row>
    <row r="1469" spans="1:9" x14ac:dyDescent="0.25">
      <c r="A1469" s="8" t="s">
        <v>6025</v>
      </c>
      <c r="B1469" s="8">
        <v>1</v>
      </c>
      <c r="C1469" s="8" t="s">
        <v>5968</v>
      </c>
      <c r="D1469" s="8" t="s">
        <v>5971</v>
      </c>
      <c r="E1469" s="8" t="s">
        <v>5974</v>
      </c>
    </row>
    <row r="1470" spans="1:9" x14ac:dyDescent="0.25">
      <c r="A1470" s="8" t="s">
        <v>6025</v>
      </c>
      <c r="B1470" s="8">
        <v>2</v>
      </c>
      <c r="C1470" s="8" t="s">
        <v>5969</v>
      </c>
      <c r="D1470" s="8" t="s">
        <v>5972</v>
      </c>
      <c r="E1470" s="8" t="s">
        <v>5975</v>
      </c>
    </row>
    <row r="1471" spans="1:9" x14ac:dyDescent="0.25">
      <c r="A1471" s="8" t="s">
        <v>6025</v>
      </c>
      <c r="B1471" s="8">
        <v>3</v>
      </c>
      <c r="C1471" s="8" t="s">
        <v>5970</v>
      </c>
      <c r="D1471" s="8" t="s">
        <v>5973</v>
      </c>
      <c r="E1471" s="8" t="s">
        <v>5976</v>
      </c>
    </row>
    <row r="1472" spans="1:9" x14ac:dyDescent="0.25">
      <c r="A1472" s="8" t="s">
        <v>6025</v>
      </c>
      <c r="B1472" s="8">
        <v>96</v>
      </c>
      <c r="C1472" s="8" t="s">
        <v>5796</v>
      </c>
      <c r="D1472" s="8" t="s">
        <v>79</v>
      </c>
      <c r="E1472" s="8" t="s">
        <v>1006</v>
      </c>
    </row>
    <row r="1473" spans="1:9" s="148" customFormat="1" x14ac:dyDescent="0.25">
      <c r="A1473" s="147"/>
      <c r="B1473" s="147"/>
      <c r="C1473" s="147"/>
      <c r="D1473" s="147"/>
      <c r="E1473" s="147"/>
      <c r="F1473" s="147"/>
      <c r="G1473" s="147"/>
      <c r="H1473" s="147"/>
      <c r="I1473" s="147"/>
    </row>
    <row r="1474" spans="1:9" ht="51" x14ac:dyDescent="0.25">
      <c r="A1474" s="8" t="s">
        <v>6026</v>
      </c>
      <c r="B1474" s="8">
        <v>1</v>
      </c>
      <c r="C1474" s="153" t="s">
        <v>5977</v>
      </c>
      <c r="D1474" s="153" t="s">
        <v>5981</v>
      </c>
      <c r="E1474" s="153" t="s">
        <v>5981</v>
      </c>
    </row>
    <row r="1475" spans="1:9" ht="51" x14ac:dyDescent="0.25">
      <c r="A1475" s="8" t="s">
        <v>6026</v>
      </c>
      <c r="B1475" s="8">
        <v>2</v>
      </c>
      <c r="C1475" s="153" t="s">
        <v>5978</v>
      </c>
      <c r="D1475" s="153" t="s">
        <v>5982</v>
      </c>
      <c r="E1475" s="153" t="s">
        <v>5982</v>
      </c>
    </row>
    <row r="1476" spans="1:9" ht="51" x14ac:dyDescent="0.25">
      <c r="A1476" s="8" t="s">
        <v>6026</v>
      </c>
      <c r="B1476" s="8">
        <v>3</v>
      </c>
      <c r="C1476" s="153" t="s">
        <v>5979</v>
      </c>
      <c r="D1476" s="153" t="s">
        <v>5983</v>
      </c>
      <c r="E1476" s="153" t="s">
        <v>5983</v>
      </c>
    </row>
    <row r="1477" spans="1:9" ht="63.75" x14ac:dyDescent="0.25">
      <c r="A1477" s="8" t="s">
        <v>6026</v>
      </c>
      <c r="B1477" s="8">
        <v>4</v>
      </c>
      <c r="C1477" s="153" t="s">
        <v>5980</v>
      </c>
      <c r="D1477" s="153" t="s">
        <v>5984</v>
      </c>
      <c r="E1477" s="153" t="s">
        <v>5984</v>
      </c>
    </row>
    <row r="1478" spans="1:9" s="148" customFormat="1" x14ac:dyDescent="0.25">
      <c r="A1478" s="147"/>
      <c r="B1478" s="147"/>
      <c r="C1478" s="147"/>
      <c r="D1478" s="147"/>
      <c r="E1478" s="147"/>
      <c r="F1478" s="147"/>
      <c r="G1478" s="147"/>
      <c r="H1478" s="147"/>
      <c r="I1478" s="147"/>
    </row>
    <row r="1479" spans="1:9" x14ac:dyDescent="0.25">
      <c r="A1479" s="8" t="s">
        <v>6027</v>
      </c>
      <c r="B1479" s="8">
        <v>1</v>
      </c>
      <c r="C1479" s="8" t="s">
        <v>5554</v>
      </c>
      <c r="D1479" s="8" t="s">
        <v>5558</v>
      </c>
      <c r="E1479" s="8" t="s">
        <v>5994</v>
      </c>
    </row>
    <row r="1480" spans="1:9" x14ac:dyDescent="0.25">
      <c r="A1480" s="8" t="s">
        <v>6027</v>
      </c>
      <c r="B1480" s="8">
        <v>2</v>
      </c>
      <c r="C1480" s="8" t="s">
        <v>5989</v>
      </c>
      <c r="D1480" s="8" t="s">
        <v>5992</v>
      </c>
      <c r="E1480" s="8" t="s">
        <v>5563</v>
      </c>
    </row>
    <row r="1481" spans="1:9" x14ac:dyDescent="0.25">
      <c r="A1481" s="8" t="s">
        <v>6027</v>
      </c>
      <c r="B1481" s="8">
        <v>3</v>
      </c>
      <c r="C1481" s="8" t="s">
        <v>5990</v>
      </c>
      <c r="D1481" s="8" t="s">
        <v>5560</v>
      </c>
      <c r="E1481" s="8" t="s">
        <v>5564</v>
      </c>
    </row>
    <row r="1482" spans="1:9" x14ac:dyDescent="0.25">
      <c r="A1482" s="8" t="s">
        <v>6027</v>
      </c>
      <c r="B1482" s="8">
        <v>4</v>
      </c>
      <c r="C1482" s="8" t="s">
        <v>5991</v>
      </c>
      <c r="D1482" s="8" t="s">
        <v>5993</v>
      </c>
      <c r="E1482" s="8" t="s">
        <v>5565</v>
      </c>
    </row>
    <row r="1483" spans="1:9" s="148" customFormat="1" x14ac:dyDescent="0.25">
      <c r="A1483" s="147"/>
      <c r="B1483" s="147"/>
      <c r="C1483" s="147"/>
      <c r="D1483" s="147"/>
      <c r="E1483" s="147"/>
      <c r="F1483" s="147"/>
      <c r="G1483" s="147"/>
      <c r="H1483" s="147"/>
      <c r="I1483" s="147"/>
    </row>
    <row r="1484" spans="1:9" x14ac:dyDescent="0.25">
      <c r="A1484" s="8" t="s">
        <v>6031</v>
      </c>
      <c r="B1484" s="8">
        <v>1</v>
      </c>
      <c r="C1484" s="8" t="s">
        <v>5995</v>
      </c>
      <c r="D1484" s="8" t="s">
        <v>5998</v>
      </c>
      <c r="E1484" s="8" t="s">
        <v>6002</v>
      </c>
    </row>
    <row r="1485" spans="1:9" x14ac:dyDescent="0.25">
      <c r="A1485" s="8" t="s">
        <v>6031</v>
      </c>
      <c r="B1485" s="8">
        <v>2</v>
      </c>
      <c r="C1485" s="8" t="s">
        <v>5996</v>
      </c>
      <c r="D1485" s="8" t="s">
        <v>5999</v>
      </c>
      <c r="E1485" s="8" t="s">
        <v>6003</v>
      </c>
    </row>
    <row r="1486" spans="1:9" x14ac:dyDescent="0.25">
      <c r="A1486" s="8" t="s">
        <v>6031</v>
      </c>
      <c r="B1486" s="8">
        <v>3</v>
      </c>
      <c r="C1486" s="8" t="s">
        <v>5997</v>
      </c>
      <c r="D1486" s="8" t="s">
        <v>6000</v>
      </c>
      <c r="E1486" s="8" t="s">
        <v>6004</v>
      </c>
    </row>
    <row r="1487" spans="1:9" x14ac:dyDescent="0.25">
      <c r="A1487" s="8" t="s">
        <v>6031</v>
      </c>
      <c r="B1487" s="8">
        <v>4</v>
      </c>
      <c r="C1487" s="8" t="s">
        <v>5573</v>
      </c>
      <c r="D1487" s="8" t="s">
        <v>6001</v>
      </c>
      <c r="E1487" s="8" t="s">
        <v>6005</v>
      </c>
    </row>
    <row r="1488" spans="1:9" x14ac:dyDescent="0.25">
      <c r="A1488" s="8" t="s">
        <v>6031</v>
      </c>
      <c r="B1488" s="8">
        <v>96</v>
      </c>
      <c r="C1488" s="8" t="s">
        <v>913</v>
      </c>
      <c r="D1488" s="8" t="s">
        <v>2008</v>
      </c>
      <c r="E1488" s="8" t="s">
        <v>1006</v>
      </c>
    </row>
    <row r="1489" spans="1:9" s="148" customFormat="1" x14ac:dyDescent="0.25">
      <c r="A1489" s="147"/>
      <c r="B1489" s="147"/>
      <c r="C1489" s="147"/>
      <c r="D1489" s="147"/>
      <c r="E1489" s="147"/>
      <c r="F1489" s="147"/>
      <c r="G1489" s="147"/>
      <c r="H1489" s="147"/>
      <c r="I1489" s="147"/>
    </row>
    <row r="1490" spans="1:9" x14ac:dyDescent="0.25">
      <c r="A1490" s="8" t="s">
        <v>6028</v>
      </c>
      <c r="B1490" s="8">
        <v>1</v>
      </c>
      <c r="C1490" s="8" t="s">
        <v>6006</v>
      </c>
      <c r="D1490" s="8" t="s">
        <v>6009</v>
      </c>
      <c r="E1490" s="8" t="s">
        <v>6014</v>
      </c>
    </row>
    <row r="1491" spans="1:9" x14ac:dyDescent="0.25">
      <c r="A1491" s="8" t="s">
        <v>6028</v>
      </c>
      <c r="B1491" s="8">
        <v>2</v>
      </c>
      <c r="C1491" s="8" t="s">
        <v>6007</v>
      </c>
      <c r="D1491" s="8" t="s">
        <v>6010</v>
      </c>
      <c r="E1491" s="8" t="s">
        <v>6015</v>
      </c>
    </row>
    <row r="1492" spans="1:9" x14ac:dyDescent="0.25">
      <c r="A1492" s="8" t="s">
        <v>6028</v>
      </c>
      <c r="B1492" s="8">
        <v>3</v>
      </c>
      <c r="C1492" s="8" t="s">
        <v>6008</v>
      </c>
      <c r="D1492" s="8" t="s">
        <v>6011</v>
      </c>
      <c r="E1492" s="8" t="s">
        <v>6016</v>
      </c>
    </row>
    <row r="1493" spans="1:9" x14ac:dyDescent="0.25">
      <c r="A1493" s="8" t="s">
        <v>6028</v>
      </c>
      <c r="B1493" s="8">
        <v>4</v>
      </c>
      <c r="C1493" s="8" t="s">
        <v>5597</v>
      </c>
      <c r="D1493" s="8" t="s">
        <v>6012</v>
      </c>
      <c r="E1493" s="8" t="s">
        <v>6017</v>
      </c>
    </row>
    <row r="1494" spans="1:9" x14ac:dyDescent="0.25">
      <c r="A1494" s="8" t="s">
        <v>6028</v>
      </c>
      <c r="B1494" s="8">
        <v>5</v>
      </c>
      <c r="C1494" s="8" t="s">
        <v>5599</v>
      </c>
      <c r="D1494" s="8" t="s">
        <v>6013</v>
      </c>
      <c r="E1494" s="8" t="s">
        <v>6018</v>
      </c>
    </row>
    <row r="1495" spans="1:9" x14ac:dyDescent="0.25">
      <c r="A1495" s="8" t="s">
        <v>6028</v>
      </c>
      <c r="B1495" s="8">
        <v>96</v>
      </c>
      <c r="C1495" s="8" t="s">
        <v>913</v>
      </c>
      <c r="D1495" s="8" t="s">
        <v>952</v>
      </c>
      <c r="E1495" s="8" t="s">
        <v>1816</v>
      </c>
    </row>
    <row r="1496" spans="1:9" s="148" customFormat="1" x14ac:dyDescent="0.25">
      <c r="A1496" s="147"/>
      <c r="B1496" s="147"/>
      <c r="C1496" s="147"/>
      <c r="D1496" s="147"/>
      <c r="E1496" s="147"/>
      <c r="F1496" s="147"/>
      <c r="G1496" s="147"/>
      <c r="H1496" s="147"/>
      <c r="I1496" s="147"/>
    </row>
    <row r="1497" spans="1:9" ht="15" x14ac:dyDescent="0.25">
      <c r="A1497" t="s">
        <v>6231</v>
      </c>
      <c r="B1497" s="8">
        <v>1</v>
      </c>
      <c r="C1497" s="8" t="s">
        <v>6151</v>
      </c>
      <c r="D1497" s="8" t="s">
        <v>6156</v>
      </c>
      <c r="E1497" s="8" t="s">
        <v>6160</v>
      </c>
    </row>
    <row r="1498" spans="1:9" ht="15" x14ac:dyDescent="0.25">
      <c r="A1498" t="s">
        <v>6231</v>
      </c>
      <c r="B1498" s="8">
        <v>2</v>
      </c>
      <c r="C1498" s="8" t="s">
        <v>6152</v>
      </c>
      <c r="D1498" s="8" t="s">
        <v>6157</v>
      </c>
      <c r="E1498" s="8" t="s">
        <v>6161</v>
      </c>
    </row>
    <row r="1499" spans="1:9" ht="15" x14ac:dyDescent="0.25">
      <c r="A1499" t="s">
        <v>6231</v>
      </c>
      <c r="B1499" s="8">
        <v>3</v>
      </c>
      <c r="C1499" s="8" t="s">
        <v>6153</v>
      </c>
      <c r="D1499" s="8" t="s">
        <v>6158</v>
      </c>
      <c r="E1499" s="8" t="s">
        <v>6162</v>
      </c>
    </row>
    <row r="1500" spans="1:9" ht="15" x14ac:dyDescent="0.25">
      <c r="A1500" t="s">
        <v>6231</v>
      </c>
      <c r="B1500" s="8">
        <v>4</v>
      </c>
      <c r="C1500" s="8" t="s">
        <v>6154</v>
      </c>
      <c r="D1500" s="8" t="s">
        <v>6159</v>
      </c>
      <c r="E1500" s="8" t="s">
        <v>6163</v>
      </c>
    </row>
    <row r="1501" spans="1:9" ht="15" x14ac:dyDescent="0.25">
      <c r="A1501" t="s">
        <v>6231</v>
      </c>
      <c r="B1501" s="8">
        <v>5</v>
      </c>
      <c r="C1501" s="8" t="s">
        <v>5947</v>
      </c>
      <c r="D1501" s="8" t="s">
        <v>5955</v>
      </c>
      <c r="E1501" s="8" t="s">
        <v>5963</v>
      </c>
    </row>
    <row r="1502" spans="1:9" ht="15" x14ac:dyDescent="0.25">
      <c r="A1502" t="s">
        <v>6231</v>
      </c>
      <c r="B1502" s="8">
        <v>6</v>
      </c>
      <c r="C1502" s="8" t="s">
        <v>5948</v>
      </c>
      <c r="D1502" s="8" t="s">
        <v>5956</v>
      </c>
      <c r="E1502" s="8" t="s">
        <v>6164</v>
      </c>
    </row>
    <row r="1503" spans="1:9" ht="15" x14ac:dyDescent="0.25">
      <c r="A1503" t="s">
        <v>6231</v>
      </c>
      <c r="B1503" s="8">
        <v>7</v>
      </c>
      <c r="C1503" s="8" t="s">
        <v>6155</v>
      </c>
      <c r="D1503" s="8" t="s">
        <v>5957</v>
      </c>
      <c r="E1503" s="8" t="s">
        <v>6165</v>
      </c>
    </row>
    <row r="1504" spans="1:9" ht="15" x14ac:dyDescent="0.25">
      <c r="A1504" t="s">
        <v>6231</v>
      </c>
      <c r="B1504" s="8">
        <v>8</v>
      </c>
      <c r="C1504" s="8" t="s">
        <v>5949</v>
      </c>
      <c r="D1504" s="8" t="s">
        <v>5958</v>
      </c>
      <c r="E1504" s="8" t="s">
        <v>5966</v>
      </c>
    </row>
    <row r="1505" spans="1:9" ht="15" x14ac:dyDescent="0.25">
      <c r="A1505" t="s">
        <v>6231</v>
      </c>
      <c r="B1505" s="8">
        <v>96</v>
      </c>
      <c r="C1505" s="8" t="s">
        <v>6061</v>
      </c>
      <c r="D1505" s="8" t="s">
        <v>2317</v>
      </c>
      <c r="E1505" s="8" t="s">
        <v>5591</v>
      </c>
    </row>
    <row r="1506" spans="1:9" s="148" customFormat="1" x14ac:dyDescent="0.25">
      <c r="A1506" s="147"/>
      <c r="B1506" s="147"/>
      <c r="C1506" s="147"/>
      <c r="D1506" s="147"/>
      <c r="E1506" s="147"/>
      <c r="F1506" s="147"/>
      <c r="G1506" s="147"/>
      <c r="H1506" s="147"/>
      <c r="I1506" s="147"/>
    </row>
    <row r="1507" spans="1:9" ht="15" x14ac:dyDescent="0.25">
      <c r="A1507" t="s">
        <v>6232</v>
      </c>
      <c r="B1507" s="8">
        <v>1</v>
      </c>
      <c r="C1507" s="8" t="s">
        <v>6166</v>
      </c>
      <c r="D1507" s="8" t="s">
        <v>6170</v>
      </c>
      <c r="E1507" s="8" t="s">
        <v>6174</v>
      </c>
    </row>
    <row r="1508" spans="1:9" ht="15" x14ac:dyDescent="0.25">
      <c r="A1508" t="s">
        <v>6232</v>
      </c>
      <c r="B1508" s="8">
        <v>2</v>
      </c>
      <c r="C1508" s="8" t="s">
        <v>6167</v>
      </c>
      <c r="D1508" s="8" t="s">
        <v>6171</v>
      </c>
      <c r="E1508" s="8" t="s">
        <v>6175</v>
      </c>
    </row>
    <row r="1509" spans="1:9" ht="15" x14ac:dyDescent="0.25">
      <c r="A1509" t="s">
        <v>6232</v>
      </c>
      <c r="B1509" s="8">
        <v>3</v>
      </c>
      <c r="C1509" s="8" t="s">
        <v>6168</v>
      </c>
      <c r="D1509" s="8" t="s">
        <v>6172</v>
      </c>
      <c r="E1509" s="8" t="s">
        <v>6176</v>
      </c>
    </row>
    <row r="1510" spans="1:9" ht="15" x14ac:dyDescent="0.25">
      <c r="A1510" t="s">
        <v>6232</v>
      </c>
      <c r="B1510" s="8">
        <v>96</v>
      </c>
      <c r="C1510" s="8" t="s">
        <v>6169</v>
      </c>
      <c r="D1510" s="8" t="s">
        <v>6173</v>
      </c>
      <c r="E1510" s="8" t="s">
        <v>1816</v>
      </c>
    </row>
    <row r="1511" spans="1:9" s="148" customFormat="1" x14ac:dyDescent="0.25">
      <c r="A1511" s="147"/>
      <c r="B1511" s="147"/>
      <c r="C1511" s="147"/>
      <c r="D1511" s="147"/>
      <c r="E1511" s="147"/>
      <c r="F1511" s="147"/>
      <c r="G1511" s="147"/>
      <c r="H1511" s="147"/>
      <c r="I1511" s="147"/>
    </row>
    <row r="1512" spans="1:9" ht="15" x14ac:dyDescent="0.25">
      <c r="A1512" t="s">
        <v>6233</v>
      </c>
      <c r="B1512" s="8">
        <v>1</v>
      </c>
      <c r="C1512" s="8" t="s">
        <v>6179</v>
      </c>
      <c r="D1512" s="8" t="s">
        <v>6180</v>
      </c>
      <c r="E1512" s="8" t="s">
        <v>6182</v>
      </c>
    </row>
    <row r="1513" spans="1:9" ht="15" x14ac:dyDescent="0.25">
      <c r="A1513" t="s">
        <v>6233</v>
      </c>
      <c r="B1513" s="8">
        <v>2</v>
      </c>
      <c r="C1513" s="8" t="s">
        <v>3866</v>
      </c>
      <c r="D1513" s="8" t="s">
        <v>3869</v>
      </c>
      <c r="E1513" s="8" t="s">
        <v>3872</v>
      </c>
    </row>
    <row r="1514" spans="1:9" ht="15" x14ac:dyDescent="0.25">
      <c r="A1514" t="s">
        <v>6233</v>
      </c>
      <c r="B1514" s="8">
        <v>3</v>
      </c>
      <c r="C1514" s="8" t="s">
        <v>3345</v>
      </c>
      <c r="D1514" s="8" t="s">
        <v>6181</v>
      </c>
      <c r="E1514" s="8" t="s">
        <v>6183</v>
      </c>
    </row>
    <row r="1515" spans="1:9" ht="15" x14ac:dyDescent="0.25">
      <c r="A1515" t="s">
        <v>6233</v>
      </c>
      <c r="B1515" s="8">
        <v>4</v>
      </c>
      <c r="C1515" s="8" t="s">
        <v>4518</v>
      </c>
      <c r="D1515" s="8" t="s">
        <v>86</v>
      </c>
      <c r="E1515" s="8" t="s">
        <v>1191</v>
      </c>
    </row>
    <row r="1516" spans="1:9" s="148" customFormat="1" x14ac:dyDescent="0.25">
      <c r="A1516" s="147"/>
      <c r="B1516" s="147"/>
      <c r="C1516" s="147"/>
      <c r="D1516" s="147"/>
      <c r="E1516" s="147"/>
      <c r="F1516" s="147"/>
      <c r="G1516" s="147"/>
      <c r="H1516" s="147"/>
      <c r="I1516" s="147"/>
    </row>
    <row r="1517" spans="1:9" ht="15" x14ac:dyDescent="0.25">
      <c r="A1517" t="s">
        <v>6238</v>
      </c>
      <c r="B1517" s="8">
        <v>1</v>
      </c>
      <c r="C1517" s="8" t="s">
        <v>6185</v>
      </c>
      <c r="D1517" s="8" t="s">
        <v>6188</v>
      </c>
      <c r="E1517" s="8" t="s">
        <v>6191</v>
      </c>
    </row>
    <row r="1518" spans="1:9" ht="15" x14ac:dyDescent="0.25">
      <c r="A1518" t="s">
        <v>6238</v>
      </c>
      <c r="B1518" s="8">
        <v>2</v>
      </c>
      <c r="C1518" s="8" t="s">
        <v>6186</v>
      </c>
      <c r="D1518" s="8" t="s">
        <v>6189</v>
      </c>
      <c r="E1518" s="8" t="s">
        <v>6192</v>
      </c>
    </row>
    <row r="1519" spans="1:9" ht="15" x14ac:dyDescent="0.25">
      <c r="A1519" t="s">
        <v>6238</v>
      </c>
      <c r="B1519" s="8">
        <v>3</v>
      </c>
      <c r="C1519" s="8" t="s">
        <v>6187</v>
      </c>
      <c r="D1519" s="8" t="s">
        <v>6190</v>
      </c>
      <c r="E1519" s="8" t="s">
        <v>6193</v>
      </c>
    </row>
    <row r="1520" spans="1:9" ht="15" x14ac:dyDescent="0.25">
      <c r="A1520" t="s">
        <v>6238</v>
      </c>
      <c r="B1520" s="8">
        <v>96</v>
      </c>
      <c r="C1520" s="8" t="s">
        <v>6169</v>
      </c>
      <c r="D1520" s="8" t="s">
        <v>2349</v>
      </c>
      <c r="E1520" s="8" t="s">
        <v>1816</v>
      </c>
    </row>
    <row r="1521" spans="1:9" s="148" customFormat="1" x14ac:dyDescent="0.25">
      <c r="A1521" s="147"/>
      <c r="B1521" s="147"/>
      <c r="C1521" s="147"/>
      <c r="D1521" s="147"/>
      <c r="E1521" s="147"/>
      <c r="F1521" s="147"/>
      <c r="G1521" s="147"/>
      <c r="H1521" s="147"/>
      <c r="I1521" s="147"/>
    </row>
    <row r="1522" spans="1:9" ht="15" x14ac:dyDescent="0.25">
      <c r="A1522" t="s">
        <v>6234</v>
      </c>
      <c r="B1522" s="8">
        <v>1</v>
      </c>
      <c r="C1522" s="8" t="s">
        <v>6195</v>
      </c>
      <c r="D1522" s="8" t="s">
        <v>6200</v>
      </c>
      <c r="E1522" s="8" t="s">
        <v>6204</v>
      </c>
    </row>
    <row r="1523" spans="1:9" ht="15" x14ac:dyDescent="0.25">
      <c r="A1523" t="s">
        <v>6234</v>
      </c>
      <c r="B1523" s="8">
        <v>2</v>
      </c>
      <c r="C1523" s="8" t="s">
        <v>6196</v>
      </c>
      <c r="D1523" s="8" t="s">
        <v>6201</v>
      </c>
      <c r="E1523" s="8" t="s">
        <v>6205</v>
      </c>
    </row>
    <row r="1524" spans="1:9" ht="15" x14ac:dyDescent="0.25">
      <c r="A1524" t="s">
        <v>6234</v>
      </c>
      <c r="B1524" s="8">
        <v>3</v>
      </c>
      <c r="C1524" s="8" t="s">
        <v>6197</v>
      </c>
      <c r="D1524" s="8" t="s">
        <v>6202</v>
      </c>
      <c r="E1524" s="8" t="s">
        <v>6206</v>
      </c>
    </row>
    <row r="1525" spans="1:9" ht="15" x14ac:dyDescent="0.25">
      <c r="A1525" t="s">
        <v>6234</v>
      </c>
      <c r="B1525" s="8">
        <v>4</v>
      </c>
      <c r="C1525" s="8" t="s">
        <v>6198</v>
      </c>
      <c r="D1525" s="8" t="s">
        <v>6203</v>
      </c>
      <c r="E1525" s="8" t="s">
        <v>6203</v>
      </c>
    </row>
    <row r="1526" spans="1:9" ht="15" x14ac:dyDescent="0.25">
      <c r="A1526" t="s">
        <v>6234</v>
      </c>
      <c r="B1526" s="8">
        <v>96</v>
      </c>
      <c r="C1526" s="8" t="s">
        <v>6199</v>
      </c>
      <c r="D1526" s="8" t="s">
        <v>6173</v>
      </c>
      <c r="E1526" s="8" t="s">
        <v>1816</v>
      </c>
    </row>
    <row r="1527" spans="1:9" s="148" customFormat="1" x14ac:dyDescent="0.25">
      <c r="A1527" s="147"/>
      <c r="B1527" s="147"/>
      <c r="C1527" s="147"/>
      <c r="D1527" s="147"/>
      <c r="E1527" s="147"/>
      <c r="F1527" s="147"/>
      <c r="G1527" s="147"/>
      <c r="H1527" s="147"/>
      <c r="I1527" s="147"/>
    </row>
    <row r="1528" spans="1:9" ht="15" x14ac:dyDescent="0.25">
      <c r="A1528" t="s">
        <v>6235</v>
      </c>
      <c r="B1528" s="8">
        <v>1</v>
      </c>
      <c r="C1528" s="8" t="s">
        <v>6207</v>
      </c>
      <c r="D1528" s="8" t="s">
        <v>6209</v>
      </c>
      <c r="E1528" s="8" t="s">
        <v>6211</v>
      </c>
    </row>
    <row r="1529" spans="1:9" ht="15" x14ac:dyDescent="0.25">
      <c r="A1529" t="s">
        <v>6235</v>
      </c>
      <c r="B1529" s="8">
        <v>2</v>
      </c>
      <c r="C1529" s="8" t="s">
        <v>6208</v>
      </c>
      <c r="D1529" s="8" t="s">
        <v>6210</v>
      </c>
      <c r="E1529" s="8" t="s">
        <v>6212</v>
      </c>
    </row>
    <row r="1530" spans="1:9" s="148" customFormat="1" x14ac:dyDescent="0.25">
      <c r="A1530" s="147"/>
      <c r="B1530" s="147"/>
      <c r="C1530" s="147"/>
      <c r="D1530" s="147"/>
      <c r="E1530" s="147"/>
      <c r="F1530" s="147"/>
      <c r="G1530" s="147"/>
      <c r="H1530" s="147"/>
      <c r="I1530" s="147"/>
    </row>
    <row r="1531" spans="1:9" ht="15" x14ac:dyDescent="0.25">
      <c r="A1531" t="s">
        <v>6236</v>
      </c>
      <c r="B1531" s="8">
        <v>1</v>
      </c>
      <c r="C1531" s="8" t="s">
        <v>6213</v>
      </c>
      <c r="D1531" s="8" t="s">
        <v>6215</v>
      </c>
      <c r="E1531" s="8" t="s">
        <v>6217</v>
      </c>
    </row>
    <row r="1532" spans="1:9" ht="15" x14ac:dyDescent="0.25">
      <c r="A1532" t="s">
        <v>6236</v>
      </c>
      <c r="B1532" s="8">
        <v>2</v>
      </c>
      <c r="C1532" s="8" t="s">
        <v>6214</v>
      </c>
      <c r="D1532" s="8" t="s">
        <v>6216</v>
      </c>
      <c r="E1532" s="8" t="s">
        <v>6218</v>
      </c>
    </row>
    <row r="1533" spans="1:9" ht="15" x14ac:dyDescent="0.25">
      <c r="A1533" t="s">
        <v>6236</v>
      </c>
      <c r="B1533" s="8">
        <v>3</v>
      </c>
      <c r="C1533" s="8" t="s">
        <v>83</v>
      </c>
      <c r="D1533" s="8" t="s">
        <v>84</v>
      </c>
      <c r="E1533" s="8" t="s">
        <v>1021</v>
      </c>
    </row>
    <row r="1534" spans="1:9" ht="15" x14ac:dyDescent="0.25">
      <c r="A1534" t="s">
        <v>6236</v>
      </c>
      <c r="B1534" s="8">
        <v>96</v>
      </c>
      <c r="C1534" s="8" t="s">
        <v>6219</v>
      </c>
      <c r="D1534" s="8" t="s">
        <v>2349</v>
      </c>
      <c r="E1534" s="8" t="s">
        <v>1816</v>
      </c>
    </row>
    <row r="1535" spans="1:9" s="148" customFormat="1" x14ac:dyDescent="0.25">
      <c r="A1535" s="147"/>
      <c r="B1535" s="147"/>
      <c r="C1535" s="147"/>
      <c r="D1535" s="147"/>
      <c r="E1535" s="147"/>
      <c r="F1535" s="147"/>
      <c r="G1535" s="147"/>
      <c r="H1535" s="147"/>
      <c r="I1535" s="147"/>
    </row>
    <row r="1536" spans="1:9" ht="15" x14ac:dyDescent="0.25">
      <c r="A1536" t="s">
        <v>6237</v>
      </c>
      <c r="B1536" s="8">
        <v>1</v>
      </c>
      <c r="C1536" s="8" t="s">
        <v>6222</v>
      </c>
      <c r="D1536" s="8" t="s">
        <v>6225</v>
      </c>
      <c r="E1536" s="8" t="s">
        <v>6228</v>
      </c>
    </row>
    <row r="1537" spans="1:9" ht="15" x14ac:dyDescent="0.25">
      <c r="A1537" t="s">
        <v>6237</v>
      </c>
      <c r="B1537" s="8">
        <v>2</v>
      </c>
      <c r="C1537" s="8" t="s">
        <v>6223</v>
      </c>
      <c r="D1537" s="8" t="s">
        <v>6226</v>
      </c>
      <c r="E1537" s="8" t="s">
        <v>6229</v>
      </c>
    </row>
    <row r="1538" spans="1:9" ht="15" x14ac:dyDescent="0.25">
      <c r="A1538" t="s">
        <v>6237</v>
      </c>
      <c r="B1538" s="8">
        <v>3</v>
      </c>
      <c r="C1538" s="8" t="s">
        <v>6224</v>
      </c>
      <c r="D1538" s="8" t="s">
        <v>6227</v>
      </c>
      <c r="E1538" s="8" t="s">
        <v>6230</v>
      </c>
    </row>
    <row r="1539" spans="1:9" ht="15" x14ac:dyDescent="0.25">
      <c r="A1539" t="s">
        <v>6237</v>
      </c>
      <c r="B1539" s="8">
        <v>96</v>
      </c>
      <c r="C1539" s="8" t="s">
        <v>5796</v>
      </c>
      <c r="D1539" s="8" t="s">
        <v>2752</v>
      </c>
      <c r="E1539" s="8" t="s">
        <v>1768</v>
      </c>
    </row>
    <row r="1540" spans="1:9" s="148" customFormat="1" x14ac:dyDescent="0.25">
      <c r="A1540" s="147"/>
      <c r="B1540" s="147"/>
      <c r="C1540" s="147"/>
      <c r="D1540" s="147"/>
      <c r="E1540" s="147"/>
      <c r="F1540" s="147"/>
      <c r="G1540" s="147"/>
      <c r="H1540" s="147"/>
      <c r="I1540" s="147"/>
    </row>
  </sheetData>
  <phoneticPr fontId="13" type="noConversion"/>
  <pageMargins left="0.7" right="0.7" top="0.75" bottom="0.75" header="0.3" footer="0.3"/>
  <pageSetup paperSize="9"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3" sqref="A3"/>
    </sheetView>
  </sheetViews>
  <sheetFormatPr defaultColWidth="8.42578125" defaultRowHeight="15" x14ac:dyDescent="0.25"/>
  <cols>
    <col min="1" max="1" width="15.5703125" bestFit="1" customWidth="1"/>
    <col min="2" max="2" width="31.42578125" customWidth="1"/>
    <col min="3" max="3" width="24.42578125" customWidth="1"/>
    <col min="4" max="4" width="17.42578125" customWidth="1"/>
    <col min="5" max="5" width="19.140625" customWidth="1"/>
    <col min="7" max="7" width="11" bestFit="1" customWidth="1"/>
  </cols>
  <sheetData>
    <row r="1" spans="1:8" x14ac:dyDescent="0.25">
      <c r="A1" t="s">
        <v>671</v>
      </c>
      <c r="B1" s="4" t="s">
        <v>672</v>
      </c>
      <c r="C1" t="s">
        <v>229</v>
      </c>
      <c r="D1" s="1" t="s">
        <v>230</v>
      </c>
      <c r="E1" s="1" t="s">
        <v>231</v>
      </c>
      <c r="F1" s="1" t="s">
        <v>232</v>
      </c>
      <c r="G1" s="1" t="s">
        <v>233</v>
      </c>
      <c r="H1" s="5" t="s">
        <v>608</v>
      </c>
    </row>
    <row r="2" spans="1:8" x14ac:dyDescent="0.25">
      <c r="A2" t="s">
        <v>6244</v>
      </c>
      <c r="B2" s="4" t="s">
        <v>3275</v>
      </c>
      <c r="C2" s="1"/>
      <c r="D2" s="3">
        <v>202006250000</v>
      </c>
      <c r="E2" s="1" t="s">
        <v>673</v>
      </c>
      <c r="F2" s="1" t="s">
        <v>234</v>
      </c>
      <c r="G2" s="1" t="s">
        <v>1692</v>
      </c>
      <c r="H2" s="2" t="s">
        <v>1691</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Mehrdod Yorov</cp:lastModifiedBy>
  <dcterms:created xsi:type="dcterms:W3CDTF">2018-07-18T07:35:05Z</dcterms:created>
  <dcterms:modified xsi:type="dcterms:W3CDTF">2025-09-01T04:35:47Z</dcterms:modified>
</cp:coreProperties>
</file>